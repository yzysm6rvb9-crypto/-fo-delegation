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38640" windowHeight="21120" tabRatio="600" firstSheet="0" activeTab="0" autoFilterDateGrouping="1"/>
  </bookViews>
  <sheets>
    <sheet xmlns:r="http://schemas.openxmlformats.org/officeDocument/2006/relationships" name="Connexion" sheetId="1" state="visible" r:id="rId1"/>
    <sheet xmlns:r="http://schemas.openxmlformats.org/officeDocument/2006/relationships" name="Calendrier" sheetId="2" state="visible" r:id="rId2"/>
    <sheet xmlns:r="http://schemas.openxmlformats.org/officeDocument/2006/relationships" name="Mail FO" sheetId="3" state="visible" r:id="rId3"/>
    <sheet xmlns:r="http://schemas.openxmlformats.org/officeDocument/2006/relationships" name="Archives" sheetId="4" state="visible" r:id="rId4"/>
    <sheet xmlns:r="http://schemas.openxmlformats.org/officeDocument/2006/relationships" name="Paramètres" sheetId="5" state="visible" r:id="rId5"/>
    <sheet xmlns:r="http://schemas.openxmlformats.org/officeDocument/2006/relationships" name="VBA_CODE" sheetId="6" state="visible" r:id="rId6"/>
  </sheets>
  <definedNames/>
  <calcPr calcId="191029" fullCalcOnLoad="1"/>
</workbook>
</file>

<file path=xl/styles.xml><?xml version="1.0" encoding="utf-8"?>
<styleSheet xmlns="http://schemas.openxmlformats.org/spreadsheetml/2006/main">
  <numFmts count="2">
    <numFmt numFmtId="164" formatCode="yyyy-mm-dd"/>
    <numFmt numFmtId="165" formatCode="dd/mm/yyyy"/>
  </numFmts>
  <fonts count="13">
    <font>
      <name val="Calibri"/>
      <family val="2"/>
      <color theme="1"/>
      <sz val="11"/>
      <scheme val="minor"/>
    </font>
    <font>
      <name val="Calibri"/>
      <b val="1"/>
      <color rgb="FFFFFFFF"/>
      <sz val="18"/>
    </font>
    <font>
      <name val="Calibri"/>
      <b val="1"/>
      <color rgb="FFFFFFFF"/>
      <sz val="14"/>
    </font>
    <font>
      <name val="Calibri"/>
      <b val="1"/>
      <sz val="11"/>
    </font>
    <font>
      <name val="Calibri"/>
      <color rgb="FF0000FF"/>
      <sz val="11"/>
    </font>
    <font>
      <name val="Calibri"/>
      <b val="1"/>
      <color rgb="FFFFFFFF"/>
      <sz val="11"/>
    </font>
    <font>
      <name val="Calibri"/>
      <b val="1"/>
      <color rgb="FFFFFFFF"/>
      <sz val="16"/>
    </font>
    <font>
      <name val="Calibri"/>
      <b val="1"/>
      <color rgb="FFFFFFFF"/>
      <sz val="15"/>
    </font>
    <font>
      <b val="1"/>
      <color rgb="00FFFFFF"/>
    </font>
    <font>
      <b val="1"/>
      <color rgb="00FFFFFF"/>
      <sz val="20"/>
    </font>
    <font>
      <b val="1"/>
    </font>
    <font>
      <b val="1"/>
      <color rgb="00FFFFFF"/>
      <sz val="18"/>
    </font>
    <font>
      <b val="1"/>
      <color rgb="00FFFFFF"/>
      <sz val="16"/>
    </font>
  </fonts>
  <fills count="15">
    <fill>
      <patternFill/>
    </fill>
    <fill>
      <patternFill patternType="gray125"/>
    </fill>
    <fill>
      <patternFill patternType="solid">
        <fgColor rgb="FFC00000"/>
      </patternFill>
    </fill>
    <fill>
      <patternFill patternType="solid">
        <fgColor rgb="FF7F0000"/>
      </patternFill>
    </fill>
    <fill>
      <patternFill patternType="solid">
        <fgColor rgb="FFFFF2CC"/>
      </patternFill>
    </fill>
    <fill>
      <patternFill patternType="solid">
        <fgColor rgb="FFF4CCCC"/>
      </patternFill>
    </fill>
    <fill>
      <patternFill patternType="solid">
        <fgColor rgb="FFDDEBF7"/>
      </patternFill>
    </fill>
    <fill>
      <patternFill patternType="solid">
        <fgColor rgb="FFE7E6E6"/>
      </patternFill>
    </fill>
    <fill>
      <patternFill patternType="solid">
        <fgColor rgb="FFC6EFCE"/>
      </patternFill>
    </fill>
    <fill>
      <patternFill patternType="solid">
        <fgColor rgb="00D80018"/>
      </patternFill>
    </fill>
    <fill>
      <patternFill patternType="solid">
        <fgColor rgb="00F4F4F6"/>
      </patternFill>
    </fill>
    <fill>
      <patternFill patternType="solid">
        <fgColor rgb="00FFFFFF"/>
      </patternFill>
    </fill>
    <fill>
      <patternFill patternType="solid">
        <fgColor rgb="00222222"/>
      </patternFill>
    </fill>
    <fill>
      <patternFill patternType="solid">
        <fgColor rgb="00FFF2CC"/>
      </patternFill>
    </fill>
    <fill>
      <patternFill patternType="solid">
        <fgColor rgb="00DDEBF7"/>
      </patternFill>
    </fill>
  </fills>
  <borders count="3">
    <border>
      <left/>
      <right/>
      <top/>
      <bottom/>
      <diagonal/>
    </border>
    <border>
      <left/>
      <right/>
      <top/>
      <bottom style="thin">
        <color rgb="FFD9D9D9"/>
      </bottom>
      <diagonal/>
    </border>
    <border>
      <left style="thin">
        <color rgb="00CCCCCC"/>
      </left>
      <right style="thin">
        <color rgb="00CCCCCC"/>
      </right>
      <top style="thin">
        <color rgb="00CCCCCC"/>
      </top>
      <bottom style="thin">
        <color rgb="00CCCCCC"/>
      </bottom>
    </border>
  </borders>
  <cellStyleXfs count="1">
    <xf numFmtId="0" fontId="0" fillId="0" borderId="0"/>
  </cellStyleXfs>
  <cellXfs count="48">
    <xf numFmtId="0" fontId="0" fillId="0" borderId="0" pivotButton="0" quotePrefix="0" xfId="0"/>
    <xf numFmtId="0" fontId="3" fillId="0" borderId="0" applyAlignment="1" pivotButton="0" quotePrefix="0" xfId="0">
      <alignment horizontal="right"/>
    </xf>
    <xf numFmtId="0" fontId="4" fillId="4" borderId="0" applyAlignment="1" applyProtection="1" pivotButton="0" quotePrefix="0" xfId="0">
      <alignment horizontal="center"/>
      <protection locked="0" hidden="0"/>
    </xf>
    <xf numFmtId="0" fontId="5" fillId="3" borderId="0" pivotButton="0" quotePrefix="0" xfId="0"/>
    <xf numFmtId="0" fontId="3" fillId="0" borderId="0" pivotButton="0" quotePrefix="0" xfId="0"/>
    <xf numFmtId="0" fontId="0" fillId="5" borderId="0" applyAlignment="1" pivotButton="0" quotePrefix="0" xfId="0">
      <alignment horizontal="center"/>
    </xf>
    <xf numFmtId="0" fontId="3" fillId="7" borderId="0" pivotButton="0" quotePrefix="0" xfId="0"/>
    <xf numFmtId="0" fontId="3" fillId="8" borderId="0" applyAlignment="1" pivotButton="0" quotePrefix="0" xfId="0">
      <alignment horizontal="center"/>
    </xf>
    <xf numFmtId="0" fontId="0" fillId="6" borderId="0" applyAlignment="1" pivotButton="0" quotePrefix="0" xfId="0">
      <alignment horizontal="center"/>
    </xf>
    <xf numFmtId="0" fontId="3" fillId="4" borderId="0" applyAlignment="1" pivotButton="0" quotePrefix="0" xfId="0">
      <alignment horizontal="center"/>
    </xf>
    <xf numFmtId="0" fontId="5" fillId="2" borderId="0" applyAlignment="1" pivotButton="0" quotePrefix="0" xfId="0">
      <alignment horizontal="center" vertical="center" wrapText="1"/>
    </xf>
    <xf numFmtId="0" fontId="0" fillId="0" borderId="1" applyAlignment="1" pivotButton="0" quotePrefix="0" xfId="0">
      <alignment horizontal="center" vertical="center" wrapText="1"/>
    </xf>
    <xf numFmtId="14" fontId="0" fillId="0" borderId="1" applyAlignment="1" pivotButton="0" quotePrefix="0" xfId="0">
      <alignment horizontal="center" vertical="center" wrapText="1"/>
    </xf>
    <xf numFmtId="0" fontId="4" fillId="4" borderId="1" applyAlignment="1" applyProtection="1" pivotButton="0" quotePrefix="0" xfId="0">
      <alignment horizontal="center" vertical="center" wrapText="1"/>
      <protection locked="0" hidden="0"/>
    </xf>
    <xf numFmtId="0" fontId="4" fillId="4" borderId="1" applyAlignment="1" applyProtection="1" pivotButton="0" quotePrefix="0" xfId="0">
      <alignment horizontal="left" vertical="center" wrapText="1"/>
      <protection locked="0" hidden="0"/>
    </xf>
    <xf numFmtId="0" fontId="5" fillId="2" borderId="0" applyAlignment="1" pivotButton="0" quotePrefix="0" xfId="0">
      <alignment horizontal="center"/>
    </xf>
    <xf numFmtId="0" fontId="5" fillId="2" borderId="0" pivotButton="0" quotePrefix="0" xfId="0"/>
    <xf numFmtId="14" fontId="0" fillId="0" borderId="0" pivotButton="0" quotePrefix="0" xfId="0"/>
    <xf numFmtId="0" fontId="0" fillId="0" borderId="0" applyAlignment="1" pivotButton="0" quotePrefix="0" xfId="0">
      <alignment vertical="top" wrapText="1"/>
    </xf>
    <xf numFmtId="0" fontId="0" fillId="0" borderId="0" pivotButton="0" quotePrefix="0" xfId="0"/>
    <xf numFmtId="0" fontId="5" fillId="3" borderId="0" pivotButton="0" quotePrefix="0" xfId="0"/>
    <xf numFmtId="0" fontId="2" fillId="3" borderId="0" applyAlignment="1" pivotButton="0" quotePrefix="0" xfId="0">
      <alignment horizontal="center"/>
    </xf>
    <xf numFmtId="0" fontId="1" fillId="2" borderId="0" applyAlignment="1" pivotButton="0" quotePrefix="0" xfId="0">
      <alignment horizontal="center" vertical="center"/>
    </xf>
    <xf numFmtId="0" fontId="6" fillId="2" borderId="0" applyAlignment="1" pivotButton="0" quotePrefix="0" xfId="0">
      <alignment horizontal="center"/>
    </xf>
    <xf numFmtId="0" fontId="0" fillId="0" borderId="0" applyAlignment="1" pivotButton="0" quotePrefix="0" xfId="0">
      <alignment wrapText="1"/>
    </xf>
    <xf numFmtId="0" fontId="7" fillId="2" borderId="0" applyAlignment="1" pivotButton="0" quotePrefix="0" xfId="0">
      <alignment horizontal="center"/>
    </xf>
    <xf numFmtId="0" fontId="2" fillId="2" borderId="0" applyAlignment="1" pivotButton="0" quotePrefix="0" xfId="0">
      <alignment horizontal="center"/>
    </xf>
    <xf numFmtId="0" fontId="9" fillId="9" borderId="0" applyAlignment="1" pivotButton="0" quotePrefix="0" xfId="0">
      <alignment horizontal="center" vertical="center"/>
    </xf>
    <xf numFmtId="0" fontId="0" fillId="0" borderId="0" applyAlignment="1" pivotButton="0" quotePrefix="0" xfId="0">
      <alignment vertical="center"/>
    </xf>
    <xf numFmtId="0" fontId="10" fillId="10" borderId="2" applyAlignment="1" pivotButton="0" quotePrefix="0" xfId="0">
      <alignment vertical="center"/>
    </xf>
    <xf numFmtId="0" fontId="0" fillId="11" borderId="2" applyAlignment="1" pivotButton="0" quotePrefix="0" xfId="0">
      <alignment vertical="center"/>
    </xf>
    <xf numFmtId="0" fontId="8" fillId="12" borderId="0" applyAlignment="1" pivotButton="0" quotePrefix="0" xfId="0">
      <alignment vertical="center"/>
    </xf>
    <xf numFmtId="0" fontId="10" fillId="13" borderId="0" applyAlignment="1" pivotButton="0" quotePrefix="0" xfId="0">
      <alignment horizontal="center" vertical="center" wrapText="1"/>
    </xf>
    <xf numFmtId="0" fontId="11" fillId="9" borderId="0" applyAlignment="1" pivotButton="0" quotePrefix="0" xfId="0">
      <alignment horizontal="center" vertical="center"/>
    </xf>
    <xf numFmtId="0" fontId="10" fillId="14" borderId="2" applyAlignment="1" pivotButton="0" quotePrefix="0" xfId="0">
      <alignment vertical="center"/>
    </xf>
    <xf numFmtId="0" fontId="8" fillId="9" borderId="2" applyAlignment="1" pivotButton="0" quotePrefix="0" xfId="0">
      <alignment horizontal="center" vertical="center"/>
    </xf>
    <xf numFmtId="165" fontId="0" fillId="0" borderId="2" applyAlignment="1" pivotButton="0" quotePrefix="0" xfId="0">
      <alignment horizontal="center" vertical="center" wrapText="1"/>
    </xf>
    <xf numFmtId="0" fontId="0" fillId="0" borderId="2" applyAlignment="1" pivotButton="0" quotePrefix="0" xfId="0">
      <alignment horizontal="center" vertical="center" wrapText="1"/>
    </xf>
    <xf numFmtId="2" fontId="0" fillId="0" borderId="2" applyAlignment="1" pivotButton="0" quotePrefix="0" xfId="0">
      <alignment horizontal="center" vertical="center" wrapText="1"/>
    </xf>
    <xf numFmtId="0" fontId="0" fillId="14" borderId="2" applyAlignment="1" pivotButton="0" quotePrefix="0" xfId="0">
      <alignment vertical="center"/>
    </xf>
    <xf numFmtId="0" fontId="8" fillId="9" borderId="2" applyAlignment="1" pivotButton="0" quotePrefix="0" xfId="0">
      <alignment vertical="center"/>
    </xf>
    <xf numFmtId="165" fontId="0" fillId="0" borderId="2" applyAlignment="1" pivotButton="0" quotePrefix="0" xfId="0">
      <alignment vertical="center"/>
    </xf>
    <xf numFmtId="0" fontId="0" fillId="0" borderId="2" applyAlignment="1" pivotButton="0" quotePrefix="0" xfId="0">
      <alignment vertical="center"/>
    </xf>
    <xf numFmtId="2" fontId="0" fillId="0" borderId="2" applyAlignment="1" pivotButton="0" quotePrefix="0" xfId="0">
      <alignment vertical="center"/>
    </xf>
    <xf numFmtId="0" fontId="8" fillId="9" borderId="0" applyAlignment="1" pivotButton="0" quotePrefix="0" xfId="0">
      <alignment vertical="center"/>
    </xf>
    <xf numFmtId="165" fontId="0" fillId="0" borderId="0" applyAlignment="1" pivotButton="0" quotePrefix="0" xfId="0">
      <alignment vertical="center"/>
    </xf>
    <xf numFmtId="0" fontId="12" fillId="9" borderId="0" applyAlignment="1" pivotButton="0" quotePrefix="0" xfId="0">
      <alignment vertical="center"/>
    </xf>
    <xf numFmtId="0" fontId="0" fillId="0" borderId="0" applyAlignment="1" pivotButton="0" quotePrefix="0" xfId="0">
      <alignment vertical="center" wrapText="1"/>
    </xf>
  </cellXfs>
  <cellStyles count="1">
    <cellStyle name="Normal" xfId="0" builtinId="0"/>
  </cellStyles>
  <dxfs count="8">
    <dxf>
      <fill>
        <patternFill patternType="solid">
          <fgColor rgb="FFFFC7CE"/>
        </patternFill>
      </fill>
    </dxf>
    <dxf>
      <fill>
        <patternFill patternType="solid">
          <fgColor rgb="FFFFC7CE"/>
        </patternFill>
      </fill>
    </dxf>
    <dxf>
      <fill>
        <patternFill patternType="solid">
          <fgColor rgb="FFE4DFEC"/>
        </patternFill>
      </fill>
    </dxf>
    <dxf>
      <fill>
        <patternFill patternType="solid">
          <fgColor rgb="FFFCE4D6"/>
        </patternFill>
      </fill>
    </dxf>
    <dxf>
      <fill>
        <patternFill patternType="solid">
          <fgColor rgb="FFC6EFCE"/>
        </patternFill>
      </fill>
    </dxf>
    <dxf>
      <fill>
        <patternFill patternType="solid">
          <fgColor rgb="FFFFC7CE"/>
        </patternFill>
      </fill>
    </dxf>
    <dxf>
      <fill>
        <patternFill patternType="solid">
          <fgColor rgb="00D9D9D9"/>
        </patternFill>
      </fill>
    </dxf>
    <dxf>
      <fill>
        <patternFill patternType="solid">
          <fgColor rgb="00D9EAD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12"/>
  <sheetViews>
    <sheetView showGridLines="0" workbookViewId="0">
      <selection activeCell="A1" sqref="A1"/>
    </sheetView>
  </sheetViews>
  <sheetFormatPr baseColWidth="8" defaultRowHeight="15"/>
  <cols>
    <col width="18" customWidth="1" style="19" min="1" max="1"/>
    <col width="20" customWidth="1" style="19" min="2" max="2"/>
    <col width="4" customWidth="1" style="19" min="3" max="3"/>
    <col width="35" customWidth="1" style="19" min="4" max="4"/>
    <col width="30" customWidth="1" style="19" min="5" max="5"/>
    <col width="20" customWidth="1" style="19" min="6" max="6"/>
  </cols>
  <sheetData>
    <row r="1">
      <c r="A1" s="27" t="inlineStr">
        <is>
          <t>FO Castmetal - Connexion heures de délégation</t>
        </is>
      </c>
      <c r="B1" s="28" t="n"/>
      <c r="C1" s="28" t="n"/>
      <c r="D1" s="28" t="n"/>
      <c r="E1" s="28" t="n"/>
      <c r="F1" s="28" t="n"/>
    </row>
    <row r="2">
      <c r="A2" s="28" t="n"/>
      <c r="B2" s="28" t="n"/>
      <c r="C2" s="28" t="n"/>
      <c r="D2" s="28" t="n"/>
      <c r="E2" s="28" t="n"/>
      <c r="F2" s="28" t="n"/>
    </row>
    <row r="3">
      <c r="A3" s="29" t="inlineStr">
        <is>
          <t>Prénom</t>
        </is>
      </c>
      <c r="B3" s="30" t="inlineStr">
        <is>
          <t>Karim</t>
        </is>
      </c>
      <c r="C3" s="28" t="n"/>
      <c r="D3" s="31" t="inlineStr">
        <is>
          <t>Mode d’emploi</t>
        </is>
      </c>
      <c r="E3" s="28" t="n"/>
      <c r="F3" s="28" t="n"/>
    </row>
    <row r="4">
      <c r="A4" s="29" t="inlineStr">
        <is>
          <t>Mot de passe</t>
        </is>
      </c>
      <c r="B4" s="30" t="inlineStr">
        <is>
          <t>CMC</t>
        </is>
      </c>
      <c r="C4" s="28" t="n"/>
      <c r="D4" s="28" t="inlineStr">
        <is>
          <t>1) Choisir le prénom dans le menu déroulant.</t>
        </is>
      </c>
      <c r="E4" s="28" t="n"/>
      <c r="F4" s="28" t="n"/>
    </row>
    <row r="5">
      <c r="A5" s="29" t="inlineStr">
        <is>
          <t>Mois</t>
        </is>
      </c>
      <c r="B5" s="30" t="n">
        <v>5</v>
      </c>
      <c r="C5" s="28" t="n"/>
      <c r="D5" s="28" t="inlineStr">
        <is>
          <t>2) Entrer le code CMC.</t>
        </is>
      </c>
      <c r="E5" s="28" t="n"/>
      <c r="F5" s="28" t="n"/>
    </row>
    <row r="6">
      <c r="A6" s="29" t="inlineStr">
        <is>
          <t>Année</t>
        </is>
      </c>
      <c r="B6" s="30" t="n">
        <v>2026</v>
      </c>
      <c r="C6" s="28" t="n"/>
      <c r="D6" s="28" t="inlineStr">
        <is>
          <t>3) Choisir mois et année.</t>
        </is>
      </c>
      <c r="E6" s="28" t="n"/>
      <c r="F6" s="28" t="n"/>
    </row>
    <row r="7">
      <c r="A7" s="29" t="inlineStr">
        <is>
          <t>Droit mensuel</t>
        </is>
      </c>
      <c r="B7" s="30">
        <f>IFERROR(VLOOKUP(B3,Paramètres!$A$2:$B$5,2,FALSE),"")</f>
        <v/>
      </c>
      <c r="C7" s="28" t="n"/>
      <c r="D7" s="28" t="inlineStr">
        <is>
          <t>4) Macro : OuvrirCalendrier.</t>
        </is>
      </c>
      <c r="E7" s="28" t="n"/>
      <c r="F7" s="28" t="n"/>
    </row>
    <row r="8">
      <c r="A8" s="29" t="inlineStr">
        <is>
          <t>Boîte mail FO</t>
        </is>
      </c>
      <c r="B8" s="30" t="inlineStr">
        <is>
          <t>focastmetal@gmail.com</t>
        </is>
      </c>
      <c r="C8" s="28" t="n"/>
      <c r="D8" s="28" t="inlineStr">
        <is>
          <t>5) Remplir puis EnvoyerBoiteMailFO.</t>
        </is>
      </c>
      <c r="E8" s="28" t="n"/>
      <c r="F8" s="28" t="n"/>
    </row>
    <row r="9">
      <c r="A9" s="28" t="n"/>
      <c r="B9" s="28" t="n"/>
      <c r="C9" s="28" t="n"/>
      <c r="D9" s="28" t="n"/>
      <c r="E9" s="28" t="n"/>
      <c r="F9" s="28" t="n"/>
    </row>
    <row r="10">
      <c r="A10" s="32" t="inlineStr">
        <is>
          <t>Boutons VBA à associer : OuvrirCalendrier | EnvoyerBoiteMailFO | ReinitialiserMois
Le code complet est dans VBA_CODE + fichier .bas.</t>
        </is>
      </c>
      <c r="B10" s="28" t="n"/>
      <c r="C10" s="28" t="n"/>
      <c r="D10" s="28" t="n"/>
      <c r="E10" s="28" t="n"/>
      <c r="F10" s="28" t="n"/>
    </row>
    <row r="11">
      <c r="A11" s="28" t="n"/>
      <c r="B11" s="28" t="n"/>
      <c r="C11" s="28" t="n"/>
      <c r="D11" s="28" t="n"/>
      <c r="E11" s="28" t="n"/>
      <c r="F11" s="28" t="n"/>
    </row>
    <row r="12">
      <c r="A12" s="28" t="n"/>
      <c r="B12" s="28" t="n"/>
      <c r="C12" s="28" t="n"/>
      <c r="D12" s="28" t="n"/>
      <c r="E12" s="28" t="n"/>
      <c r="F12" s="28" t="n"/>
    </row>
  </sheetData>
  <mergeCells count="2">
    <mergeCell ref="A10:F12"/>
    <mergeCell ref="A1:F1"/>
  </mergeCells>
  <dataValidations count="3">
    <dataValidation sqref="B3" showDropDown="0" showInputMessage="0" showErrorMessage="0" allowBlank="0" type="list">
      <formula1>=Paramètres!$A$2:$A$5</formula1>
    </dataValidation>
    <dataValidation sqref="B5" showDropDown="0" showInputMessage="0" showErrorMessage="0" allowBlank="0" type="whole" operator="between">
      <formula1>1</formula1>
      <formula2>12</formula2>
    </dataValidation>
    <dataValidation sqref="B6" showDropDown="0" showInputMessage="0" showErrorMessage="0" allowBlank="0" type="whole" operator="between">
      <formula1>2024</formula1>
      <formula2>2035</formula2>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I42"/>
  <sheetViews>
    <sheetView showGridLines="0" workbookViewId="0">
      <pane ySplit="11" topLeftCell="A12" activePane="bottomLeft" state="frozen"/>
      <selection pane="bottomLeft" activeCell="A1" sqref="A1"/>
    </sheetView>
  </sheetViews>
  <sheetFormatPr baseColWidth="8" defaultRowHeight="15"/>
  <cols>
    <col width="13" customWidth="1" style="19" min="1" max="1"/>
    <col width="14" customWidth="1" style="19" min="2" max="2"/>
    <col width="20" customWidth="1" style="19" min="3" max="3"/>
    <col width="18" customWidth="1" style="19" min="4" max="4"/>
    <col width="14" customWidth="1" style="19" min="5" max="5"/>
    <col width="12" customWidth="1" style="19" min="6" max="6"/>
    <col width="12" customWidth="1" style="19" min="7" max="7"/>
    <col width="16" customWidth="1" style="19" min="8" max="8"/>
    <col width="30" customWidth="1" style="19" min="9" max="9"/>
  </cols>
  <sheetData>
    <row r="1">
      <c r="A1" s="33" t="inlineStr">
        <is>
          <t>Feuille mensuelle heures de délégation FO</t>
        </is>
      </c>
      <c r="B1" s="28" t="n"/>
      <c r="C1" s="28" t="n"/>
      <c r="D1" s="28" t="n"/>
      <c r="E1" s="28" t="n"/>
      <c r="F1" s="28" t="n"/>
      <c r="G1" s="28" t="n"/>
      <c r="H1" s="28" t="n"/>
      <c r="I1" s="28" t="n"/>
    </row>
    <row r="2">
      <c r="A2" s="28" t="n"/>
      <c r="B2" s="28" t="n"/>
      <c r="C2" s="28" t="n"/>
      <c r="D2" s="28" t="n"/>
      <c r="E2" s="28" t="n"/>
      <c r="F2" s="28" t="n"/>
      <c r="G2" s="28" t="n"/>
      <c r="H2" s="28" t="n"/>
      <c r="I2" s="28" t="n"/>
    </row>
    <row r="3">
      <c r="A3" s="29" t="inlineStr">
        <is>
          <t>Prénom</t>
        </is>
      </c>
      <c r="B3" s="34">
        <f>Connexion!B3</f>
        <v/>
      </c>
      <c r="C3" s="28" t="n"/>
      <c r="D3" s="29" t="inlineStr">
        <is>
          <t>Mois</t>
        </is>
      </c>
      <c r="E3" s="34">
        <f>Connexion!B5</f>
        <v/>
      </c>
      <c r="F3" s="28" t="n"/>
      <c r="G3" s="29" t="inlineStr">
        <is>
          <t>Année</t>
        </is>
      </c>
      <c r="H3" s="34">
        <f>Connexion!B6</f>
        <v/>
      </c>
      <c r="I3" s="28" t="n"/>
    </row>
    <row r="4">
      <c r="A4" s="29" t="inlineStr">
        <is>
          <t>Droit mensuel</t>
        </is>
      </c>
      <c r="B4" s="34">
        <f>Connexion!B7</f>
        <v/>
      </c>
      <c r="C4" s="28" t="n"/>
      <c r="D4" s="29" t="inlineStr">
        <is>
          <t>Total délégation</t>
        </is>
      </c>
      <c r="E4" s="34">
        <f>SUM(F12:F42)</f>
        <v/>
      </c>
      <c r="F4" s="28" t="n"/>
      <c r="G4" s="29" t="inlineStr">
        <is>
          <t>Reste</t>
        </is>
      </c>
      <c r="H4" s="34">
        <f>B4-E4</f>
        <v/>
      </c>
      <c r="I4" s="28" t="n"/>
    </row>
    <row r="5">
      <c r="A5" s="28" t="n"/>
      <c r="B5" s="28" t="n"/>
      <c r="C5" s="28" t="n"/>
      <c r="D5" s="28" t="n"/>
      <c r="E5" s="28" t="n"/>
      <c r="F5" s="28" t="n"/>
      <c r="G5" s="28" t="n"/>
      <c r="H5" s="28" t="n"/>
      <c r="I5" s="28" t="n"/>
    </row>
    <row r="6">
      <c r="A6" s="28" t="n"/>
      <c r="B6" s="28" t="n"/>
      <c r="C6" s="28" t="n"/>
      <c r="D6" s="28" t="n"/>
      <c r="E6" s="28" t="n"/>
      <c r="F6" s="28" t="n"/>
      <c r="G6" s="28" t="n"/>
      <c r="H6" s="28" t="n"/>
      <c r="I6" s="28" t="n"/>
    </row>
    <row r="7">
      <c r="A7" s="28" t="n"/>
      <c r="B7" s="28" t="n"/>
      <c r="C7" s="28" t="n"/>
      <c r="D7" s="28" t="n"/>
      <c r="E7" s="28" t="n"/>
      <c r="F7" s="28" t="n"/>
      <c r="G7" s="28" t="n"/>
      <c r="H7" s="28" t="n"/>
      <c r="I7" s="28" t="n"/>
    </row>
    <row r="8">
      <c r="A8" s="28" t="n"/>
      <c r="B8" s="28" t="n"/>
      <c r="C8" s="28" t="n"/>
      <c r="D8" s="28" t="n"/>
      <c r="E8" s="28" t="n"/>
      <c r="F8" s="28" t="n"/>
      <c r="G8" s="28" t="n"/>
      <c r="H8" s="28" t="n"/>
      <c r="I8" s="28" t="n"/>
    </row>
    <row r="9">
      <c r="A9" s="28" t="n"/>
      <c r="B9" s="28" t="n"/>
      <c r="C9" s="28" t="n"/>
      <c r="D9" s="28" t="n"/>
      <c r="E9" s="28" t="n"/>
      <c r="F9" s="28" t="n"/>
      <c r="G9" s="28" t="n"/>
      <c r="H9" s="28" t="n"/>
      <c r="I9" s="28" t="n"/>
    </row>
    <row r="10">
      <c r="A10" s="28" t="n"/>
      <c r="B10" s="28" t="n"/>
      <c r="C10" s="28" t="n"/>
      <c r="D10" s="28" t="n"/>
      <c r="E10" s="28" t="n"/>
      <c r="F10" s="28" t="n"/>
      <c r="G10" s="28" t="n"/>
      <c r="H10" s="28" t="n"/>
      <c r="I10" s="28" t="n"/>
    </row>
    <row r="11">
      <c r="A11" s="35" t="inlineStr">
        <is>
          <t>Date</t>
        </is>
      </c>
      <c r="B11" s="35" t="inlineStr">
        <is>
          <t>Jour</t>
        </is>
      </c>
      <c r="C11" s="35" t="inlineStr">
        <is>
          <t>Férié</t>
        </is>
      </c>
      <c r="D11" s="35" t="inlineStr">
        <is>
          <t>Horaire</t>
        </is>
      </c>
      <c r="E11" s="35" t="inlineStr">
        <is>
          <t>Total journée</t>
        </is>
      </c>
      <c r="F11" s="35" t="inlineStr">
        <is>
          <t>Délégation</t>
        </is>
      </c>
      <c r="G11" s="35" t="inlineStr">
        <is>
          <t>Travail réel</t>
        </is>
      </c>
      <c r="H11" s="35" t="inlineStr">
        <is>
          <t>Statut</t>
        </is>
      </c>
      <c r="I11" s="35" t="inlineStr">
        <is>
          <t>Commentaire</t>
        </is>
      </c>
    </row>
    <row r="12">
      <c r="A12" s="36">
        <f>IF(ROW()-11&lt;=DAY(EOMONTH(DATE(Connexion!$B$6,Connexion!$B$5,1),0)),DATE(Connexion!$B$6,Connexion!$B$5,ROW()-11),"")</f>
        <v/>
      </c>
      <c r="B12" s="37">
        <f>IF(A12="","",TEXT(A12,"dddd"))</f>
        <v/>
      </c>
      <c r="C12" s="37">
        <f>IF(A12="","",IFERROR(VLOOKUP(A12,Paramètres!$J$2:$K$200,2,FALSE),""))</f>
        <v/>
      </c>
      <c r="D12" s="37" t="inlineStr"/>
      <c r="E12" s="38">
        <f>IF(A12="","",IF(D12="",IF(OR(WEEKDAY(A12,2)&gt;5,C12&lt;&gt;""),0,8),IFERROR(VLOOKUP(D12,Paramètres!$E$2:$F$6,2,FALSE),8)))</f>
        <v/>
      </c>
      <c r="F12" s="38" t="inlineStr"/>
      <c r="G12" s="38">
        <f>IF(A12="","",MAX(0,E12-F12))</f>
        <v/>
      </c>
      <c r="H12" s="37">
        <f>IF(A12="","",IF(OR(WEEKDAY(A12,2)&gt;5,C12&lt;&gt;""),"Repos","Présent"))</f>
        <v/>
      </c>
      <c r="I12" s="37" t="inlineStr"/>
    </row>
    <row r="13">
      <c r="A13" s="36">
        <f>IF(ROW()-11&lt;=DAY(EOMONTH(DATE(Connexion!$B$6,Connexion!$B$5,1),0)),DATE(Connexion!$B$6,Connexion!$B$5,ROW()-11),"")</f>
        <v/>
      </c>
      <c r="B13" s="37">
        <f>IF(A13="","",TEXT(A13,"dddd"))</f>
        <v/>
      </c>
      <c r="C13" s="37">
        <f>IF(A13="","",IFERROR(VLOOKUP(A13,Paramètres!$J$2:$K$200,2,FALSE),""))</f>
        <v/>
      </c>
      <c r="D13" s="37" t="inlineStr"/>
      <c r="E13" s="38">
        <f>IF(A13="","",IF(D13="",IF(OR(WEEKDAY(A13,2)&gt;5,C13&lt;&gt;""),0,8),IFERROR(VLOOKUP(D13,Paramètres!$E$2:$F$6,2,FALSE),8)))</f>
        <v/>
      </c>
      <c r="F13" s="38" t="inlineStr"/>
      <c r="G13" s="38">
        <f>IF(A13="","",MAX(0,E13-F13))</f>
        <v/>
      </c>
      <c r="H13" s="37">
        <f>IF(A13="","",IF(OR(WEEKDAY(A13,2)&gt;5,C13&lt;&gt;""),"Repos","Présent"))</f>
        <v/>
      </c>
      <c r="I13" s="37" t="inlineStr"/>
    </row>
    <row r="14">
      <c r="A14" s="36">
        <f>IF(ROW()-11&lt;=DAY(EOMONTH(DATE(Connexion!$B$6,Connexion!$B$5,1),0)),DATE(Connexion!$B$6,Connexion!$B$5,ROW()-11),"")</f>
        <v/>
      </c>
      <c r="B14" s="37">
        <f>IF(A14="","",TEXT(A14,"dddd"))</f>
        <v/>
      </c>
      <c r="C14" s="37">
        <f>IF(A14="","",IFERROR(VLOOKUP(A14,Paramètres!$J$2:$K$200,2,FALSE),""))</f>
        <v/>
      </c>
      <c r="D14" s="37" t="inlineStr"/>
      <c r="E14" s="38">
        <f>IF(A14="","",IF(D14="",IF(OR(WEEKDAY(A14,2)&gt;5,C14&lt;&gt;""),0,8),IFERROR(VLOOKUP(D14,Paramètres!$E$2:$F$6,2,FALSE),8)))</f>
        <v/>
      </c>
      <c r="F14" s="38" t="inlineStr"/>
      <c r="G14" s="38">
        <f>IF(A14="","",MAX(0,E14-F14))</f>
        <v/>
      </c>
      <c r="H14" s="37">
        <f>IF(A14="","",IF(OR(WEEKDAY(A14,2)&gt;5,C14&lt;&gt;""),"Repos","Présent"))</f>
        <v/>
      </c>
      <c r="I14" s="37" t="inlineStr"/>
    </row>
    <row r="15">
      <c r="A15" s="36">
        <f>IF(ROW()-11&lt;=DAY(EOMONTH(DATE(Connexion!$B$6,Connexion!$B$5,1),0)),DATE(Connexion!$B$6,Connexion!$B$5,ROW()-11),"")</f>
        <v/>
      </c>
      <c r="B15" s="37">
        <f>IF(A15="","",TEXT(A15,"dddd"))</f>
        <v/>
      </c>
      <c r="C15" s="37">
        <f>IF(A15="","",IFERROR(VLOOKUP(A15,Paramètres!$J$2:$K$200,2,FALSE),""))</f>
        <v/>
      </c>
      <c r="D15" s="37" t="inlineStr"/>
      <c r="E15" s="38">
        <f>IF(A15="","",IF(D15="",IF(OR(WEEKDAY(A15,2)&gt;5,C15&lt;&gt;""),0,8),IFERROR(VLOOKUP(D15,Paramètres!$E$2:$F$6,2,FALSE),8)))</f>
        <v/>
      </c>
      <c r="F15" s="38" t="inlineStr"/>
      <c r="G15" s="38">
        <f>IF(A15="","",MAX(0,E15-F15))</f>
        <v/>
      </c>
      <c r="H15" s="37">
        <f>IF(A15="","",IF(OR(WEEKDAY(A15,2)&gt;5,C15&lt;&gt;""),"Repos","Présent"))</f>
        <v/>
      </c>
      <c r="I15" s="37" t="inlineStr"/>
    </row>
    <row r="16">
      <c r="A16" s="36">
        <f>IF(ROW()-11&lt;=DAY(EOMONTH(DATE(Connexion!$B$6,Connexion!$B$5,1),0)),DATE(Connexion!$B$6,Connexion!$B$5,ROW()-11),"")</f>
        <v/>
      </c>
      <c r="B16" s="37">
        <f>IF(A16="","",TEXT(A16,"dddd"))</f>
        <v/>
      </c>
      <c r="C16" s="37">
        <f>IF(A16="","",IFERROR(VLOOKUP(A16,Paramètres!$J$2:$K$200,2,FALSE),""))</f>
        <v/>
      </c>
      <c r="D16" s="37" t="inlineStr"/>
      <c r="E16" s="38">
        <f>IF(A16="","",IF(D16="",IF(OR(WEEKDAY(A16,2)&gt;5,C16&lt;&gt;""),0,8),IFERROR(VLOOKUP(D16,Paramètres!$E$2:$F$6,2,FALSE),8)))</f>
        <v/>
      </c>
      <c r="F16" s="38" t="inlineStr"/>
      <c r="G16" s="38">
        <f>IF(A16="","",MAX(0,E16-F16))</f>
        <v/>
      </c>
      <c r="H16" s="37">
        <f>IF(A16="","",IF(OR(WEEKDAY(A16,2)&gt;5,C16&lt;&gt;""),"Repos","Présent"))</f>
        <v/>
      </c>
      <c r="I16" s="37" t="inlineStr"/>
    </row>
    <row r="17">
      <c r="A17" s="36">
        <f>IF(ROW()-11&lt;=DAY(EOMONTH(DATE(Connexion!$B$6,Connexion!$B$5,1),0)),DATE(Connexion!$B$6,Connexion!$B$5,ROW()-11),"")</f>
        <v/>
      </c>
      <c r="B17" s="37">
        <f>IF(A17="","",TEXT(A17,"dddd"))</f>
        <v/>
      </c>
      <c r="C17" s="37">
        <f>IF(A17="","",IFERROR(VLOOKUP(A17,Paramètres!$J$2:$K$200,2,FALSE),""))</f>
        <v/>
      </c>
      <c r="D17" s="37" t="inlineStr"/>
      <c r="E17" s="38">
        <f>IF(A17="","",IF(D17="",IF(OR(WEEKDAY(A17,2)&gt;5,C17&lt;&gt;""),0,8),IFERROR(VLOOKUP(D17,Paramètres!$E$2:$F$6,2,FALSE),8)))</f>
        <v/>
      </c>
      <c r="F17" s="38" t="inlineStr"/>
      <c r="G17" s="38">
        <f>IF(A17="","",MAX(0,E17-F17))</f>
        <v/>
      </c>
      <c r="H17" s="37">
        <f>IF(A17="","",IF(OR(WEEKDAY(A17,2)&gt;5,C17&lt;&gt;""),"Repos","Présent"))</f>
        <v/>
      </c>
      <c r="I17" s="37" t="inlineStr"/>
    </row>
    <row r="18">
      <c r="A18" s="36">
        <f>IF(ROW()-11&lt;=DAY(EOMONTH(DATE(Connexion!$B$6,Connexion!$B$5,1),0)),DATE(Connexion!$B$6,Connexion!$B$5,ROW()-11),"")</f>
        <v/>
      </c>
      <c r="B18" s="37">
        <f>IF(A18="","",TEXT(A18,"dddd"))</f>
        <v/>
      </c>
      <c r="C18" s="37">
        <f>IF(A18="","",IFERROR(VLOOKUP(A18,Paramètres!$J$2:$K$200,2,FALSE),""))</f>
        <v/>
      </c>
      <c r="D18" s="37" t="inlineStr"/>
      <c r="E18" s="38">
        <f>IF(A18="","",IF(D18="",IF(OR(WEEKDAY(A18,2)&gt;5,C18&lt;&gt;""),0,8),IFERROR(VLOOKUP(D18,Paramètres!$E$2:$F$6,2,FALSE),8)))</f>
        <v/>
      </c>
      <c r="F18" s="38" t="inlineStr"/>
      <c r="G18" s="38">
        <f>IF(A18="","",MAX(0,E18-F18))</f>
        <v/>
      </c>
      <c r="H18" s="37">
        <f>IF(A18="","",IF(OR(WEEKDAY(A18,2)&gt;5,C18&lt;&gt;""),"Repos","Présent"))</f>
        <v/>
      </c>
      <c r="I18" s="37" t="inlineStr"/>
    </row>
    <row r="19">
      <c r="A19" s="36">
        <f>IF(ROW()-11&lt;=DAY(EOMONTH(DATE(Connexion!$B$6,Connexion!$B$5,1),0)),DATE(Connexion!$B$6,Connexion!$B$5,ROW()-11),"")</f>
        <v/>
      </c>
      <c r="B19" s="37">
        <f>IF(A19="","",TEXT(A19,"dddd"))</f>
        <v/>
      </c>
      <c r="C19" s="37">
        <f>IF(A19="","",IFERROR(VLOOKUP(A19,Paramètres!$J$2:$K$200,2,FALSE),""))</f>
        <v/>
      </c>
      <c r="D19" s="37" t="inlineStr"/>
      <c r="E19" s="38">
        <f>IF(A19="","",IF(D19="",IF(OR(WEEKDAY(A19,2)&gt;5,C19&lt;&gt;""),0,8),IFERROR(VLOOKUP(D19,Paramètres!$E$2:$F$6,2,FALSE),8)))</f>
        <v/>
      </c>
      <c r="F19" s="38" t="inlineStr"/>
      <c r="G19" s="38">
        <f>IF(A19="","",MAX(0,E19-F19))</f>
        <v/>
      </c>
      <c r="H19" s="37">
        <f>IF(A19="","",IF(OR(WEEKDAY(A19,2)&gt;5,C19&lt;&gt;""),"Repos","Présent"))</f>
        <v/>
      </c>
      <c r="I19" s="37" t="inlineStr"/>
    </row>
    <row r="20">
      <c r="A20" s="36">
        <f>IF(ROW()-11&lt;=DAY(EOMONTH(DATE(Connexion!$B$6,Connexion!$B$5,1),0)),DATE(Connexion!$B$6,Connexion!$B$5,ROW()-11),"")</f>
        <v/>
      </c>
      <c r="B20" s="37">
        <f>IF(A20="","",TEXT(A20,"dddd"))</f>
        <v/>
      </c>
      <c r="C20" s="37">
        <f>IF(A20="","",IFERROR(VLOOKUP(A20,Paramètres!$J$2:$K$200,2,FALSE),""))</f>
        <v/>
      </c>
      <c r="D20" s="37" t="inlineStr"/>
      <c r="E20" s="38">
        <f>IF(A20="","",IF(D20="",IF(OR(WEEKDAY(A20,2)&gt;5,C20&lt;&gt;""),0,8),IFERROR(VLOOKUP(D20,Paramètres!$E$2:$F$6,2,FALSE),8)))</f>
        <v/>
      </c>
      <c r="F20" s="38" t="inlineStr"/>
      <c r="G20" s="38">
        <f>IF(A20="","",MAX(0,E20-F20))</f>
        <v/>
      </c>
      <c r="H20" s="37">
        <f>IF(A20="","",IF(OR(WEEKDAY(A20,2)&gt;5,C20&lt;&gt;""),"Repos","Présent"))</f>
        <v/>
      </c>
      <c r="I20" s="37" t="inlineStr"/>
    </row>
    <row r="21">
      <c r="A21" s="36">
        <f>IF(ROW()-11&lt;=DAY(EOMONTH(DATE(Connexion!$B$6,Connexion!$B$5,1),0)),DATE(Connexion!$B$6,Connexion!$B$5,ROW()-11),"")</f>
        <v/>
      </c>
      <c r="B21" s="37">
        <f>IF(A21="","",TEXT(A21,"dddd"))</f>
        <v/>
      </c>
      <c r="C21" s="37">
        <f>IF(A21="","",IFERROR(VLOOKUP(A21,Paramètres!$J$2:$K$200,2,FALSE),""))</f>
        <v/>
      </c>
      <c r="D21" s="37" t="inlineStr"/>
      <c r="E21" s="38">
        <f>IF(A21="","",IF(D21="",IF(OR(WEEKDAY(A21,2)&gt;5,C21&lt;&gt;""),0,8),IFERROR(VLOOKUP(D21,Paramètres!$E$2:$F$6,2,FALSE),8)))</f>
        <v/>
      </c>
      <c r="F21" s="38" t="inlineStr"/>
      <c r="G21" s="38">
        <f>IF(A21="","",MAX(0,E21-F21))</f>
        <v/>
      </c>
      <c r="H21" s="37">
        <f>IF(A21="","",IF(OR(WEEKDAY(A21,2)&gt;5,C21&lt;&gt;""),"Repos","Présent"))</f>
        <v/>
      </c>
      <c r="I21" s="37" t="inlineStr"/>
    </row>
    <row r="22">
      <c r="A22" s="36">
        <f>IF(ROW()-11&lt;=DAY(EOMONTH(DATE(Connexion!$B$6,Connexion!$B$5,1),0)),DATE(Connexion!$B$6,Connexion!$B$5,ROW()-11),"")</f>
        <v/>
      </c>
      <c r="B22" s="37">
        <f>IF(A22="","",TEXT(A22,"dddd"))</f>
        <v/>
      </c>
      <c r="C22" s="37">
        <f>IF(A22="","",IFERROR(VLOOKUP(A22,Paramètres!$J$2:$K$200,2,FALSE),""))</f>
        <v/>
      </c>
      <c r="D22" s="37" t="inlineStr"/>
      <c r="E22" s="38">
        <f>IF(A22="","",IF(D22="",IF(OR(WEEKDAY(A22,2)&gt;5,C22&lt;&gt;""),0,8),IFERROR(VLOOKUP(D22,Paramètres!$E$2:$F$6,2,FALSE),8)))</f>
        <v/>
      </c>
      <c r="F22" s="38" t="inlineStr"/>
      <c r="G22" s="38">
        <f>IF(A22="","",MAX(0,E22-F22))</f>
        <v/>
      </c>
      <c r="H22" s="37">
        <f>IF(A22="","",IF(OR(WEEKDAY(A22,2)&gt;5,C22&lt;&gt;""),"Repos","Présent"))</f>
        <v/>
      </c>
      <c r="I22" s="37" t="inlineStr"/>
    </row>
    <row r="23">
      <c r="A23" s="36">
        <f>IF(ROW()-11&lt;=DAY(EOMONTH(DATE(Connexion!$B$6,Connexion!$B$5,1),0)),DATE(Connexion!$B$6,Connexion!$B$5,ROW()-11),"")</f>
        <v/>
      </c>
      <c r="B23" s="37">
        <f>IF(A23="","",TEXT(A23,"dddd"))</f>
        <v/>
      </c>
      <c r="C23" s="37">
        <f>IF(A23="","",IFERROR(VLOOKUP(A23,Paramètres!$J$2:$K$200,2,FALSE),""))</f>
        <v/>
      </c>
      <c r="D23" s="37" t="inlineStr"/>
      <c r="E23" s="38">
        <f>IF(A23="","",IF(D23="",IF(OR(WEEKDAY(A23,2)&gt;5,C23&lt;&gt;""),0,8),IFERROR(VLOOKUP(D23,Paramètres!$E$2:$F$6,2,FALSE),8)))</f>
        <v/>
      </c>
      <c r="F23" s="38" t="inlineStr"/>
      <c r="G23" s="38">
        <f>IF(A23="","",MAX(0,E23-F23))</f>
        <v/>
      </c>
      <c r="H23" s="37">
        <f>IF(A23="","",IF(OR(WEEKDAY(A23,2)&gt;5,C23&lt;&gt;""),"Repos","Présent"))</f>
        <v/>
      </c>
      <c r="I23" s="37" t="inlineStr"/>
    </row>
    <row r="24">
      <c r="A24" s="36">
        <f>IF(ROW()-11&lt;=DAY(EOMONTH(DATE(Connexion!$B$6,Connexion!$B$5,1),0)),DATE(Connexion!$B$6,Connexion!$B$5,ROW()-11),"")</f>
        <v/>
      </c>
      <c r="B24" s="37">
        <f>IF(A24="","",TEXT(A24,"dddd"))</f>
        <v/>
      </c>
      <c r="C24" s="37">
        <f>IF(A24="","",IFERROR(VLOOKUP(A24,Paramètres!$J$2:$K$200,2,FALSE),""))</f>
        <v/>
      </c>
      <c r="D24" s="37" t="inlineStr"/>
      <c r="E24" s="38">
        <f>IF(A24="","",IF(D24="",IF(OR(WEEKDAY(A24,2)&gt;5,C24&lt;&gt;""),0,8),IFERROR(VLOOKUP(D24,Paramètres!$E$2:$F$6,2,FALSE),8)))</f>
        <v/>
      </c>
      <c r="F24" s="38" t="inlineStr"/>
      <c r="G24" s="38">
        <f>IF(A24="","",MAX(0,E24-F24))</f>
        <v/>
      </c>
      <c r="H24" s="37">
        <f>IF(A24="","",IF(OR(WEEKDAY(A24,2)&gt;5,C24&lt;&gt;""),"Repos","Présent"))</f>
        <v/>
      </c>
      <c r="I24" s="37" t="inlineStr"/>
    </row>
    <row r="25">
      <c r="A25" s="36">
        <f>IF(ROW()-11&lt;=DAY(EOMONTH(DATE(Connexion!$B$6,Connexion!$B$5,1),0)),DATE(Connexion!$B$6,Connexion!$B$5,ROW()-11),"")</f>
        <v/>
      </c>
      <c r="B25" s="37">
        <f>IF(A25="","",TEXT(A25,"dddd"))</f>
        <v/>
      </c>
      <c r="C25" s="37">
        <f>IF(A25="","",IFERROR(VLOOKUP(A25,Paramètres!$J$2:$K$200,2,FALSE),""))</f>
        <v/>
      </c>
      <c r="D25" s="37" t="inlineStr"/>
      <c r="E25" s="38">
        <f>IF(A25="","",IF(D25="",IF(OR(WEEKDAY(A25,2)&gt;5,C25&lt;&gt;""),0,8),IFERROR(VLOOKUP(D25,Paramètres!$E$2:$F$6,2,FALSE),8)))</f>
        <v/>
      </c>
      <c r="F25" s="38" t="inlineStr"/>
      <c r="G25" s="38">
        <f>IF(A25="","",MAX(0,E25-F25))</f>
        <v/>
      </c>
      <c r="H25" s="37">
        <f>IF(A25="","",IF(OR(WEEKDAY(A25,2)&gt;5,C25&lt;&gt;""),"Repos","Présent"))</f>
        <v/>
      </c>
      <c r="I25" s="37" t="inlineStr"/>
    </row>
    <row r="26">
      <c r="A26" s="36">
        <f>IF(ROW()-11&lt;=DAY(EOMONTH(DATE(Connexion!$B$6,Connexion!$B$5,1),0)),DATE(Connexion!$B$6,Connexion!$B$5,ROW()-11),"")</f>
        <v/>
      </c>
      <c r="B26" s="37">
        <f>IF(A26="","",TEXT(A26,"dddd"))</f>
        <v/>
      </c>
      <c r="C26" s="37">
        <f>IF(A26="","",IFERROR(VLOOKUP(A26,Paramètres!$J$2:$K$200,2,FALSE),""))</f>
        <v/>
      </c>
      <c r="D26" s="37" t="inlineStr"/>
      <c r="E26" s="38">
        <f>IF(A26="","",IF(D26="",IF(OR(WEEKDAY(A26,2)&gt;5,C26&lt;&gt;""),0,8),IFERROR(VLOOKUP(D26,Paramètres!$E$2:$F$6,2,FALSE),8)))</f>
        <v/>
      </c>
      <c r="F26" s="38" t="inlineStr"/>
      <c r="G26" s="38">
        <f>IF(A26="","",MAX(0,E26-F26))</f>
        <v/>
      </c>
      <c r="H26" s="37">
        <f>IF(A26="","",IF(OR(WEEKDAY(A26,2)&gt;5,C26&lt;&gt;""),"Repos","Présent"))</f>
        <v/>
      </c>
      <c r="I26" s="37" t="inlineStr"/>
    </row>
    <row r="27">
      <c r="A27" s="36">
        <f>IF(ROW()-11&lt;=DAY(EOMONTH(DATE(Connexion!$B$6,Connexion!$B$5,1),0)),DATE(Connexion!$B$6,Connexion!$B$5,ROW()-11),"")</f>
        <v/>
      </c>
      <c r="B27" s="37">
        <f>IF(A27="","",TEXT(A27,"dddd"))</f>
        <v/>
      </c>
      <c r="C27" s="37">
        <f>IF(A27="","",IFERROR(VLOOKUP(A27,Paramètres!$J$2:$K$200,2,FALSE),""))</f>
        <v/>
      </c>
      <c r="D27" s="37" t="inlineStr"/>
      <c r="E27" s="38">
        <f>IF(A27="","",IF(D27="",IF(OR(WEEKDAY(A27,2)&gt;5,C27&lt;&gt;""),0,8),IFERROR(VLOOKUP(D27,Paramètres!$E$2:$F$6,2,FALSE),8)))</f>
        <v/>
      </c>
      <c r="F27" s="38" t="inlineStr"/>
      <c r="G27" s="38">
        <f>IF(A27="","",MAX(0,E27-F27))</f>
        <v/>
      </c>
      <c r="H27" s="37">
        <f>IF(A27="","",IF(OR(WEEKDAY(A27,2)&gt;5,C27&lt;&gt;""),"Repos","Présent"))</f>
        <v/>
      </c>
      <c r="I27" s="37" t="inlineStr"/>
    </row>
    <row r="28">
      <c r="A28" s="36">
        <f>IF(ROW()-11&lt;=DAY(EOMONTH(DATE(Connexion!$B$6,Connexion!$B$5,1),0)),DATE(Connexion!$B$6,Connexion!$B$5,ROW()-11),"")</f>
        <v/>
      </c>
      <c r="B28" s="37">
        <f>IF(A28="","",TEXT(A28,"dddd"))</f>
        <v/>
      </c>
      <c r="C28" s="37">
        <f>IF(A28="","",IFERROR(VLOOKUP(A28,Paramètres!$J$2:$K$200,2,FALSE),""))</f>
        <v/>
      </c>
      <c r="D28" s="37" t="inlineStr"/>
      <c r="E28" s="38">
        <f>IF(A28="","",IF(D28="",IF(OR(WEEKDAY(A28,2)&gt;5,C28&lt;&gt;""),0,8),IFERROR(VLOOKUP(D28,Paramètres!$E$2:$F$6,2,FALSE),8)))</f>
        <v/>
      </c>
      <c r="F28" s="38" t="inlineStr"/>
      <c r="G28" s="38">
        <f>IF(A28="","",MAX(0,E28-F28))</f>
        <v/>
      </c>
      <c r="H28" s="37">
        <f>IF(A28="","",IF(OR(WEEKDAY(A28,2)&gt;5,C28&lt;&gt;""),"Repos","Présent"))</f>
        <v/>
      </c>
      <c r="I28" s="37" t="inlineStr"/>
    </row>
    <row r="29">
      <c r="A29" s="36">
        <f>IF(ROW()-11&lt;=DAY(EOMONTH(DATE(Connexion!$B$6,Connexion!$B$5,1),0)),DATE(Connexion!$B$6,Connexion!$B$5,ROW()-11),"")</f>
        <v/>
      </c>
      <c r="B29" s="37">
        <f>IF(A29="","",TEXT(A29,"dddd"))</f>
        <v/>
      </c>
      <c r="C29" s="37">
        <f>IF(A29="","",IFERROR(VLOOKUP(A29,Paramètres!$J$2:$K$200,2,FALSE),""))</f>
        <v/>
      </c>
      <c r="D29" s="37" t="inlineStr"/>
      <c r="E29" s="38">
        <f>IF(A29="","",IF(D29="",IF(OR(WEEKDAY(A29,2)&gt;5,C29&lt;&gt;""),0,8),IFERROR(VLOOKUP(D29,Paramètres!$E$2:$F$6,2,FALSE),8)))</f>
        <v/>
      </c>
      <c r="F29" s="38" t="inlineStr"/>
      <c r="G29" s="38">
        <f>IF(A29="","",MAX(0,E29-F29))</f>
        <v/>
      </c>
      <c r="H29" s="37">
        <f>IF(A29="","",IF(OR(WEEKDAY(A29,2)&gt;5,C29&lt;&gt;""),"Repos","Présent"))</f>
        <v/>
      </c>
      <c r="I29" s="37" t="inlineStr"/>
    </row>
    <row r="30">
      <c r="A30" s="36">
        <f>IF(ROW()-11&lt;=DAY(EOMONTH(DATE(Connexion!$B$6,Connexion!$B$5,1),0)),DATE(Connexion!$B$6,Connexion!$B$5,ROW()-11),"")</f>
        <v/>
      </c>
      <c r="B30" s="37">
        <f>IF(A30="","",TEXT(A30,"dddd"))</f>
        <v/>
      </c>
      <c r="C30" s="37">
        <f>IF(A30="","",IFERROR(VLOOKUP(A30,Paramètres!$J$2:$K$200,2,FALSE),""))</f>
        <v/>
      </c>
      <c r="D30" s="37" t="inlineStr"/>
      <c r="E30" s="38">
        <f>IF(A30="","",IF(D30="",IF(OR(WEEKDAY(A30,2)&gt;5,C30&lt;&gt;""),0,8),IFERROR(VLOOKUP(D30,Paramètres!$E$2:$F$6,2,FALSE),8)))</f>
        <v/>
      </c>
      <c r="F30" s="38" t="inlineStr"/>
      <c r="G30" s="38">
        <f>IF(A30="","",MAX(0,E30-F30))</f>
        <v/>
      </c>
      <c r="H30" s="37">
        <f>IF(A30="","",IF(OR(WEEKDAY(A30,2)&gt;5,C30&lt;&gt;""),"Repos","Présent"))</f>
        <v/>
      </c>
      <c r="I30" s="37" t="inlineStr"/>
    </row>
    <row r="31">
      <c r="A31" s="36">
        <f>IF(ROW()-11&lt;=DAY(EOMONTH(DATE(Connexion!$B$6,Connexion!$B$5,1),0)),DATE(Connexion!$B$6,Connexion!$B$5,ROW()-11),"")</f>
        <v/>
      </c>
      <c r="B31" s="37">
        <f>IF(A31="","",TEXT(A31,"dddd"))</f>
        <v/>
      </c>
      <c r="C31" s="37">
        <f>IF(A31="","",IFERROR(VLOOKUP(A31,Paramètres!$J$2:$K$200,2,FALSE),""))</f>
        <v/>
      </c>
      <c r="D31" s="37" t="inlineStr"/>
      <c r="E31" s="38">
        <f>IF(A31="","",IF(D31="",IF(OR(WEEKDAY(A31,2)&gt;5,C31&lt;&gt;""),0,8),IFERROR(VLOOKUP(D31,Paramètres!$E$2:$F$6,2,FALSE),8)))</f>
        <v/>
      </c>
      <c r="F31" s="38" t="inlineStr"/>
      <c r="G31" s="38">
        <f>IF(A31="","",MAX(0,E31-F31))</f>
        <v/>
      </c>
      <c r="H31" s="37">
        <f>IF(A31="","",IF(OR(WEEKDAY(A31,2)&gt;5,C31&lt;&gt;""),"Repos","Présent"))</f>
        <v/>
      </c>
      <c r="I31" s="37" t="inlineStr"/>
    </row>
    <row r="32">
      <c r="A32" s="36">
        <f>IF(ROW()-11&lt;=DAY(EOMONTH(DATE(Connexion!$B$6,Connexion!$B$5,1),0)),DATE(Connexion!$B$6,Connexion!$B$5,ROW()-11),"")</f>
        <v/>
      </c>
      <c r="B32" s="37">
        <f>IF(A32="","",TEXT(A32,"dddd"))</f>
        <v/>
      </c>
      <c r="C32" s="37">
        <f>IF(A32="","",IFERROR(VLOOKUP(A32,Paramètres!$J$2:$K$200,2,FALSE),""))</f>
        <v/>
      </c>
      <c r="D32" s="37" t="inlineStr"/>
      <c r="E32" s="38">
        <f>IF(A32="","",IF(D32="",IF(OR(WEEKDAY(A32,2)&gt;5,C32&lt;&gt;""),0,8),IFERROR(VLOOKUP(D32,Paramètres!$E$2:$F$6,2,FALSE),8)))</f>
        <v/>
      </c>
      <c r="F32" s="38" t="inlineStr"/>
      <c r="G32" s="38">
        <f>IF(A32="","",MAX(0,E32-F32))</f>
        <v/>
      </c>
      <c r="H32" s="37">
        <f>IF(A32="","",IF(OR(WEEKDAY(A32,2)&gt;5,C32&lt;&gt;""),"Repos","Présent"))</f>
        <v/>
      </c>
      <c r="I32" s="37" t="inlineStr"/>
    </row>
    <row r="33">
      <c r="A33" s="36">
        <f>IF(ROW()-11&lt;=DAY(EOMONTH(DATE(Connexion!$B$6,Connexion!$B$5,1),0)),DATE(Connexion!$B$6,Connexion!$B$5,ROW()-11),"")</f>
        <v/>
      </c>
      <c r="B33" s="37">
        <f>IF(A33="","",TEXT(A33,"dddd"))</f>
        <v/>
      </c>
      <c r="C33" s="37">
        <f>IF(A33="","",IFERROR(VLOOKUP(A33,Paramètres!$J$2:$K$200,2,FALSE),""))</f>
        <v/>
      </c>
      <c r="D33" s="37" t="inlineStr"/>
      <c r="E33" s="38">
        <f>IF(A33="","",IF(D33="",IF(OR(WEEKDAY(A33,2)&gt;5,C33&lt;&gt;""),0,8),IFERROR(VLOOKUP(D33,Paramètres!$E$2:$F$6,2,FALSE),8)))</f>
        <v/>
      </c>
      <c r="F33" s="38" t="inlineStr"/>
      <c r="G33" s="38">
        <f>IF(A33="","",MAX(0,E33-F33))</f>
        <v/>
      </c>
      <c r="H33" s="37">
        <f>IF(A33="","",IF(OR(WEEKDAY(A33,2)&gt;5,C33&lt;&gt;""),"Repos","Présent"))</f>
        <v/>
      </c>
      <c r="I33" s="37" t="inlineStr"/>
    </row>
    <row r="34">
      <c r="A34" s="36">
        <f>IF(ROW()-11&lt;=DAY(EOMONTH(DATE(Connexion!$B$6,Connexion!$B$5,1),0)),DATE(Connexion!$B$6,Connexion!$B$5,ROW()-11),"")</f>
        <v/>
      </c>
      <c r="B34" s="37">
        <f>IF(A34="","",TEXT(A34,"dddd"))</f>
        <v/>
      </c>
      <c r="C34" s="37">
        <f>IF(A34="","",IFERROR(VLOOKUP(A34,Paramètres!$J$2:$K$200,2,FALSE),""))</f>
        <v/>
      </c>
      <c r="D34" s="37" t="inlineStr"/>
      <c r="E34" s="38">
        <f>IF(A34="","",IF(D34="",IF(OR(WEEKDAY(A34,2)&gt;5,C34&lt;&gt;""),0,8),IFERROR(VLOOKUP(D34,Paramètres!$E$2:$F$6,2,FALSE),8)))</f>
        <v/>
      </c>
      <c r="F34" s="38" t="inlineStr"/>
      <c r="G34" s="38">
        <f>IF(A34="","",MAX(0,E34-F34))</f>
        <v/>
      </c>
      <c r="H34" s="37">
        <f>IF(A34="","",IF(OR(WEEKDAY(A34,2)&gt;5,C34&lt;&gt;""),"Repos","Présent"))</f>
        <v/>
      </c>
      <c r="I34" s="37" t="inlineStr"/>
    </row>
    <row r="35">
      <c r="A35" s="36">
        <f>IF(ROW()-11&lt;=DAY(EOMONTH(DATE(Connexion!$B$6,Connexion!$B$5,1),0)),DATE(Connexion!$B$6,Connexion!$B$5,ROW()-11),"")</f>
        <v/>
      </c>
      <c r="B35" s="37">
        <f>IF(A35="","",TEXT(A35,"dddd"))</f>
        <v/>
      </c>
      <c r="C35" s="37">
        <f>IF(A35="","",IFERROR(VLOOKUP(A35,Paramètres!$J$2:$K$200,2,FALSE),""))</f>
        <v/>
      </c>
      <c r="D35" s="37" t="inlineStr"/>
      <c r="E35" s="38">
        <f>IF(A35="","",IF(D35="",IF(OR(WEEKDAY(A35,2)&gt;5,C35&lt;&gt;""),0,8),IFERROR(VLOOKUP(D35,Paramètres!$E$2:$F$6,2,FALSE),8)))</f>
        <v/>
      </c>
      <c r="F35" s="38" t="inlineStr"/>
      <c r="G35" s="38">
        <f>IF(A35="","",MAX(0,E35-F35))</f>
        <v/>
      </c>
      <c r="H35" s="37">
        <f>IF(A35="","",IF(OR(WEEKDAY(A35,2)&gt;5,C35&lt;&gt;""),"Repos","Présent"))</f>
        <v/>
      </c>
      <c r="I35" s="37" t="inlineStr"/>
    </row>
    <row r="36">
      <c r="A36" s="36">
        <f>IF(ROW()-11&lt;=DAY(EOMONTH(DATE(Connexion!$B$6,Connexion!$B$5,1),0)),DATE(Connexion!$B$6,Connexion!$B$5,ROW()-11),"")</f>
        <v/>
      </c>
      <c r="B36" s="37">
        <f>IF(A36="","",TEXT(A36,"dddd"))</f>
        <v/>
      </c>
      <c r="C36" s="37">
        <f>IF(A36="","",IFERROR(VLOOKUP(A36,Paramètres!$J$2:$K$200,2,FALSE),""))</f>
        <v/>
      </c>
      <c r="D36" s="37" t="inlineStr"/>
      <c r="E36" s="38">
        <f>IF(A36="","",IF(D36="",IF(OR(WEEKDAY(A36,2)&gt;5,C36&lt;&gt;""),0,8),IFERROR(VLOOKUP(D36,Paramètres!$E$2:$F$6,2,FALSE),8)))</f>
        <v/>
      </c>
      <c r="F36" s="38" t="inlineStr"/>
      <c r="G36" s="38">
        <f>IF(A36="","",MAX(0,E36-F36))</f>
        <v/>
      </c>
      <c r="H36" s="37">
        <f>IF(A36="","",IF(OR(WEEKDAY(A36,2)&gt;5,C36&lt;&gt;""),"Repos","Présent"))</f>
        <v/>
      </c>
      <c r="I36" s="37" t="inlineStr"/>
    </row>
    <row r="37">
      <c r="A37" s="36">
        <f>IF(ROW()-11&lt;=DAY(EOMONTH(DATE(Connexion!$B$6,Connexion!$B$5,1),0)),DATE(Connexion!$B$6,Connexion!$B$5,ROW()-11),"")</f>
        <v/>
      </c>
      <c r="B37" s="37">
        <f>IF(A37="","",TEXT(A37,"dddd"))</f>
        <v/>
      </c>
      <c r="C37" s="37">
        <f>IF(A37="","",IFERROR(VLOOKUP(A37,Paramètres!$J$2:$K$200,2,FALSE),""))</f>
        <v/>
      </c>
      <c r="D37" s="37" t="inlineStr"/>
      <c r="E37" s="38">
        <f>IF(A37="","",IF(D37="",IF(OR(WEEKDAY(A37,2)&gt;5,C37&lt;&gt;""),0,8),IFERROR(VLOOKUP(D37,Paramètres!$E$2:$F$6,2,FALSE),8)))</f>
        <v/>
      </c>
      <c r="F37" s="38" t="inlineStr"/>
      <c r="G37" s="38">
        <f>IF(A37="","",MAX(0,E37-F37))</f>
        <v/>
      </c>
      <c r="H37" s="37">
        <f>IF(A37="","",IF(OR(WEEKDAY(A37,2)&gt;5,C37&lt;&gt;""),"Repos","Présent"))</f>
        <v/>
      </c>
      <c r="I37" s="37" t="inlineStr"/>
    </row>
    <row r="38">
      <c r="A38" s="36">
        <f>IF(ROW()-11&lt;=DAY(EOMONTH(DATE(Connexion!$B$6,Connexion!$B$5,1),0)),DATE(Connexion!$B$6,Connexion!$B$5,ROW()-11),"")</f>
        <v/>
      </c>
      <c r="B38" s="37">
        <f>IF(A38="","",TEXT(A38,"dddd"))</f>
        <v/>
      </c>
      <c r="C38" s="37">
        <f>IF(A38="","",IFERROR(VLOOKUP(A38,Paramètres!$J$2:$K$200,2,FALSE),""))</f>
        <v/>
      </c>
      <c r="D38" s="37" t="inlineStr"/>
      <c r="E38" s="38">
        <f>IF(A38="","",IF(D38="",IF(OR(WEEKDAY(A38,2)&gt;5,C38&lt;&gt;""),0,8),IFERROR(VLOOKUP(D38,Paramètres!$E$2:$F$6,2,FALSE),8)))</f>
        <v/>
      </c>
      <c r="F38" s="38" t="inlineStr"/>
      <c r="G38" s="38">
        <f>IF(A38="","",MAX(0,E38-F38))</f>
        <v/>
      </c>
      <c r="H38" s="37">
        <f>IF(A38="","",IF(OR(WEEKDAY(A38,2)&gt;5,C38&lt;&gt;""),"Repos","Présent"))</f>
        <v/>
      </c>
      <c r="I38" s="37" t="inlineStr"/>
    </row>
    <row r="39">
      <c r="A39" s="36">
        <f>IF(ROW()-11&lt;=DAY(EOMONTH(DATE(Connexion!$B$6,Connexion!$B$5,1),0)),DATE(Connexion!$B$6,Connexion!$B$5,ROW()-11),"")</f>
        <v/>
      </c>
      <c r="B39" s="37">
        <f>IF(A39="","",TEXT(A39,"dddd"))</f>
        <v/>
      </c>
      <c r="C39" s="37">
        <f>IF(A39="","",IFERROR(VLOOKUP(A39,Paramètres!$J$2:$K$200,2,FALSE),""))</f>
        <v/>
      </c>
      <c r="D39" s="37" t="inlineStr"/>
      <c r="E39" s="38">
        <f>IF(A39="","",IF(D39="",IF(OR(WEEKDAY(A39,2)&gt;5,C39&lt;&gt;""),0,8),IFERROR(VLOOKUP(D39,Paramètres!$E$2:$F$6,2,FALSE),8)))</f>
        <v/>
      </c>
      <c r="F39" s="38" t="inlineStr"/>
      <c r="G39" s="38">
        <f>IF(A39="","",MAX(0,E39-F39))</f>
        <v/>
      </c>
      <c r="H39" s="37">
        <f>IF(A39="","",IF(OR(WEEKDAY(A39,2)&gt;5,C39&lt;&gt;""),"Repos","Présent"))</f>
        <v/>
      </c>
      <c r="I39" s="37" t="inlineStr"/>
    </row>
    <row r="40">
      <c r="A40" s="36">
        <f>IF(ROW()-11&lt;=DAY(EOMONTH(DATE(Connexion!$B$6,Connexion!$B$5,1),0)),DATE(Connexion!$B$6,Connexion!$B$5,ROW()-11),"")</f>
        <v/>
      </c>
      <c r="B40" s="37">
        <f>IF(A40="","",TEXT(A40,"dddd"))</f>
        <v/>
      </c>
      <c r="C40" s="37">
        <f>IF(A40="","",IFERROR(VLOOKUP(A40,Paramètres!$J$2:$K$200,2,FALSE),""))</f>
        <v/>
      </c>
      <c r="D40" s="37" t="inlineStr"/>
      <c r="E40" s="38">
        <f>IF(A40="","",IF(D40="",IF(OR(WEEKDAY(A40,2)&gt;5,C40&lt;&gt;""),0,8),IFERROR(VLOOKUP(D40,Paramètres!$E$2:$F$6,2,FALSE),8)))</f>
        <v/>
      </c>
      <c r="F40" s="38" t="inlineStr"/>
      <c r="G40" s="38">
        <f>IF(A40="","",MAX(0,E40-F40))</f>
        <v/>
      </c>
      <c r="H40" s="37">
        <f>IF(A40="","",IF(OR(WEEKDAY(A40,2)&gt;5,C40&lt;&gt;""),"Repos","Présent"))</f>
        <v/>
      </c>
      <c r="I40" s="37" t="inlineStr"/>
    </row>
    <row r="41">
      <c r="A41" s="36">
        <f>IF(ROW()-11&lt;=DAY(EOMONTH(DATE(Connexion!$B$6,Connexion!$B$5,1),0)),DATE(Connexion!$B$6,Connexion!$B$5,ROW()-11),"")</f>
        <v/>
      </c>
      <c r="B41" s="37">
        <f>IF(A41="","",TEXT(A41,"dddd"))</f>
        <v/>
      </c>
      <c r="C41" s="37">
        <f>IF(A41="","",IFERROR(VLOOKUP(A41,Paramètres!$J$2:$K$200,2,FALSE),""))</f>
        <v/>
      </c>
      <c r="D41" s="37" t="inlineStr"/>
      <c r="E41" s="38">
        <f>IF(A41="","",IF(D41="",IF(OR(WEEKDAY(A41,2)&gt;5,C41&lt;&gt;""),0,8),IFERROR(VLOOKUP(D41,Paramètres!$E$2:$F$6,2,FALSE),8)))</f>
        <v/>
      </c>
      <c r="F41" s="38" t="inlineStr"/>
      <c r="G41" s="38">
        <f>IF(A41="","",MAX(0,E41-F41))</f>
        <v/>
      </c>
      <c r="H41" s="37">
        <f>IF(A41="","",IF(OR(WEEKDAY(A41,2)&gt;5,C41&lt;&gt;""),"Repos","Présent"))</f>
        <v/>
      </c>
      <c r="I41" s="37" t="inlineStr"/>
    </row>
    <row r="42">
      <c r="A42" s="36">
        <f>IF(ROW()-11&lt;=DAY(EOMONTH(DATE(Connexion!$B$6,Connexion!$B$5,1),0)),DATE(Connexion!$B$6,Connexion!$B$5,ROW()-11),"")</f>
        <v/>
      </c>
      <c r="B42" s="37">
        <f>IF(A42="","",TEXT(A42,"dddd"))</f>
        <v/>
      </c>
      <c r="C42" s="37">
        <f>IF(A42="","",IFERROR(VLOOKUP(A42,Paramètres!$J$2:$K$200,2,FALSE),""))</f>
        <v/>
      </c>
      <c r="D42" s="37" t="inlineStr"/>
      <c r="E42" s="38">
        <f>IF(A42="","",IF(D42="",IF(OR(WEEKDAY(A42,2)&gt;5,C42&lt;&gt;""),0,8),IFERROR(VLOOKUP(D42,Paramètres!$E$2:$F$6,2,FALSE),8)))</f>
        <v/>
      </c>
      <c r="F42" s="38" t="inlineStr"/>
      <c r="G42" s="38">
        <f>IF(A42="","",MAX(0,E42-F42))</f>
        <v/>
      </c>
      <c r="H42" s="37">
        <f>IF(A42="","",IF(OR(WEEKDAY(A42,2)&gt;5,C42&lt;&gt;""),"Repos","Présent"))</f>
        <v/>
      </c>
      <c r="I42" s="37" t="inlineStr"/>
    </row>
  </sheetData>
  <mergeCells count="1">
    <mergeCell ref="A1:I1"/>
  </mergeCells>
  <conditionalFormatting sqref="A12:I42">
    <cfRule type="expression" priority="1" dxfId="6">
      <formula>=OR(WEEKDAY($A12,2)&gt;5,$C12&lt;&gt;"")</formula>
    </cfRule>
    <cfRule type="expression" priority="2" dxfId="7">
      <formula>=$F12&gt;0</formula>
    </cfRule>
  </conditionalFormatting>
  <dataValidations count="3">
    <dataValidation sqref="D12:D42" showDropDown="0" showInputMessage="0" showErrorMessage="0" allowBlank="1" type="list">
      <formula1>=Paramètres!$E$2:$E$6</formula1>
    </dataValidation>
    <dataValidation sqref="H12:H42" showDropDown="0" showInputMessage="0" showErrorMessage="0" allowBlank="1" type="list">
      <formula1>=Paramètres!$H$2:$H$8</formula1>
    </dataValidation>
    <dataValidation sqref="F12:F42" showDropDown="0" showInputMessage="0" showErrorMessage="0" allowBlank="1" type="decimal" operator="between">
      <formula1>0</formula1>
      <formula2>8</formula2>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H41"/>
  <sheetViews>
    <sheetView showGridLines="0" workbookViewId="0">
      <selection activeCell="A1" sqref="A1"/>
    </sheetView>
  </sheetViews>
  <sheetFormatPr baseColWidth="8" defaultRowHeight="15"/>
  <cols>
    <col width="13" customWidth="1" style="19" min="1" max="1"/>
    <col width="14" customWidth="1" style="19" min="2" max="2"/>
    <col width="18" customWidth="1" style="19" min="3" max="3"/>
    <col width="14" customWidth="1" style="19" min="4" max="4"/>
    <col width="12" customWidth="1" style="19" min="5" max="5"/>
    <col width="12" customWidth="1" style="19" min="6" max="6"/>
    <col width="14" customWidth="1" style="19" min="7" max="7"/>
    <col width="32" customWidth="1" style="19" min="8" max="8"/>
  </cols>
  <sheetData>
    <row r="1">
      <c r="A1" s="33" t="inlineStr">
        <is>
          <t>Préparation mail - Envoi boîte mail FO</t>
        </is>
      </c>
      <c r="B1" s="28" t="n"/>
      <c r="C1" s="28" t="n"/>
      <c r="D1" s="28" t="n"/>
      <c r="E1" s="28" t="n"/>
      <c r="F1" s="28" t="n"/>
      <c r="G1" s="28" t="n"/>
      <c r="H1" s="28" t="n"/>
    </row>
    <row r="2">
      <c r="A2" s="28" t="n"/>
      <c r="B2" s="28" t="n"/>
      <c r="C2" s="28" t="n"/>
      <c r="D2" s="28" t="n"/>
      <c r="E2" s="28" t="n"/>
      <c r="F2" s="28" t="n"/>
      <c r="G2" s="28" t="n"/>
      <c r="H2" s="28" t="n"/>
    </row>
    <row r="3">
      <c r="A3" s="29" t="inlineStr">
        <is>
          <t>Destinataire</t>
        </is>
      </c>
      <c r="B3" s="39">
        <f>Connexion!B8</f>
        <v/>
      </c>
      <c r="C3" s="28" t="n"/>
      <c r="D3" s="28" t="n"/>
      <c r="E3" s="28" t="n"/>
      <c r="F3" s="28" t="n"/>
      <c r="G3" s="28" t="n"/>
      <c r="H3" s="28" t="n"/>
    </row>
    <row r="4">
      <c r="A4" s="29" t="inlineStr">
        <is>
          <t>Objet</t>
        </is>
      </c>
      <c r="B4" s="39">
        <f>"Feuille heures délégation FO - "&amp;Connexion!B3&amp;" - "&amp;TEXT(DATE(Connexion!B6,Connexion!B5,1),"mmmm yyyy")</f>
        <v/>
      </c>
      <c r="C4" s="28" t="n"/>
      <c r="D4" s="28" t="n"/>
      <c r="E4" s="28" t="n"/>
      <c r="F4" s="28" t="n"/>
      <c r="G4" s="28" t="n"/>
      <c r="H4" s="28" t="n"/>
    </row>
    <row r="5">
      <c r="A5" s="28" t="n"/>
      <c r="B5" s="28" t="n"/>
      <c r="C5" s="28" t="n"/>
      <c r="D5" s="28" t="n"/>
      <c r="E5" s="28" t="n"/>
      <c r="F5" s="28" t="n"/>
      <c r="G5" s="28" t="n"/>
      <c r="H5" s="28" t="n"/>
    </row>
    <row r="6">
      <c r="A6" s="29" t="inlineStr">
        <is>
          <t>Résumé</t>
        </is>
      </c>
      <c r="B6" s="28" t="n"/>
      <c r="C6" s="28" t="n"/>
      <c r="D6" s="28" t="n"/>
      <c r="E6" s="28" t="n"/>
      <c r="F6" s="28" t="n"/>
      <c r="G6" s="28" t="n"/>
      <c r="H6" s="28" t="n"/>
    </row>
    <row r="7">
      <c r="A7" s="29" t="inlineStr">
        <is>
          <t>Prénom</t>
        </is>
      </c>
      <c r="B7" s="39">
        <f>Connexion!B3</f>
        <v/>
      </c>
      <c r="C7" s="29" t="inlineStr">
        <is>
          <t>Droit</t>
        </is>
      </c>
      <c r="D7" s="39">
        <f>Connexion!B7</f>
        <v/>
      </c>
      <c r="E7" s="29" t="inlineStr">
        <is>
          <t>Total délégation</t>
        </is>
      </c>
      <c r="F7" s="39">
        <f>Calendrier!E4</f>
        <v/>
      </c>
      <c r="G7" s="29" t="inlineStr">
        <is>
          <t>Reste</t>
        </is>
      </c>
      <c r="H7" s="39">
        <f>Calendrier!H4</f>
        <v/>
      </c>
    </row>
    <row r="8">
      <c r="A8" s="28" t="n"/>
      <c r="B8" s="28" t="n"/>
      <c r="C8" s="28" t="n"/>
      <c r="D8" s="28" t="n"/>
      <c r="E8" s="28" t="n"/>
      <c r="F8" s="28" t="n"/>
      <c r="G8" s="28" t="n"/>
      <c r="H8" s="28" t="n"/>
    </row>
    <row r="9">
      <c r="A9" s="28" t="n"/>
      <c r="B9" s="28" t="n"/>
      <c r="C9" s="28" t="n"/>
      <c r="D9" s="28" t="n"/>
      <c r="E9" s="28" t="n"/>
      <c r="F9" s="28" t="n"/>
      <c r="G9" s="28" t="n"/>
      <c r="H9" s="28" t="n"/>
    </row>
    <row r="10">
      <c r="A10" s="40" t="inlineStr">
        <is>
          <t>Date</t>
        </is>
      </c>
      <c r="B10" s="40" t="inlineStr">
        <is>
          <t>Jour</t>
        </is>
      </c>
      <c r="C10" s="40" t="inlineStr">
        <is>
          <t>Horaire</t>
        </is>
      </c>
      <c r="D10" s="40" t="inlineStr">
        <is>
          <t>Total journée</t>
        </is>
      </c>
      <c r="E10" s="40" t="inlineStr">
        <is>
          <t>Délégation</t>
        </is>
      </c>
      <c r="F10" s="40" t="inlineStr">
        <is>
          <t>Travail réel</t>
        </is>
      </c>
      <c r="G10" s="40" t="inlineStr">
        <is>
          <t>Statut</t>
        </is>
      </c>
      <c r="H10" s="40" t="inlineStr">
        <is>
          <t>Commentaire</t>
        </is>
      </c>
    </row>
    <row r="11">
      <c r="A11" s="41">
        <f>IF(Calendrier!$F12&gt;0,Calendrier!$A12,"")</f>
        <v/>
      </c>
      <c r="B11" s="42">
        <f>IF($A11="","",Calendrier!$B12)</f>
        <v/>
      </c>
      <c r="C11" s="42">
        <f>IF($A11="","",Calendrier!$D12)</f>
        <v/>
      </c>
      <c r="D11" s="43">
        <f>IF($A11="","",Calendrier!$E12)</f>
        <v/>
      </c>
      <c r="E11" s="43">
        <f>IF($A11="","",Calendrier!$F12)</f>
        <v/>
      </c>
      <c r="F11" s="43">
        <f>IF($A11="","",Calendrier!$G12)</f>
        <v/>
      </c>
      <c r="G11" s="42">
        <f>IF($A11="","",Calendrier!$H12)</f>
        <v/>
      </c>
      <c r="H11" s="42">
        <f>IF($A11="","",Calendrier!$I12)</f>
        <v/>
      </c>
    </row>
    <row r="12">
      <c r="A12" s="41">
        <f>IF(Calendrier!$F13&gt;0,Calendrier!$A13,"")</f>
        <v/>
      </c>
      <c r="B12" s="42">
        <f>IF($A12="","",Calendrier!$B13)</f>
        <v/>
      </c>
      <c r="C12" s="42">
        <f>IF($A12="","",Calendrier!$D13)</f>
        <v/>
      </c>
      <c r="D12" s="43">
        <f>IF($A12="","",Calendrier!$E13)</f>
        <v/>
      </c>
      <c r="E12" s="43">
        <f>IF($A12="","",Calendrier!$F13)</f>
        <v/>
      </c>
      <c r="F12" s="43">
        <f>IF($A12="","",Calendrier!$G13)</f>
        <v/>
      </c>
      <c r="G12" s="42">
        <f>IF($A12="","",Calendrier!$H13)</f>
        <v/>
      </c>
      <c r="H12" s="42">
        <f>IF($A12="","",Calendrier!$I13)</f>
        <v/>
      </c>
    </row>
    <row r="13">
      <c r="A13" s="41">
        <f>IF(Calendrier!$F14&gt;0,Calendrier!$A14,"")</f>
        <v/>
      </c>
      <c r="B13" s="42">
        <f>IF($A13="","",Calendrier!$B14)</f>
        <v/>
      </c>
      <c r="C13" s="42">
        <f>IF($A13="","",Calendrier!$D14)</f>
        <v/>
      </c>
      <c r="D13" s="43">
        <f>IF($A13="","",Calendrier!$E14)</f>
        <v/>
      </c>
      <c r="E13" s="43">
        <f>IF($A13="","",Calendrier!$F14)</f>
        <v/>
      </c>
      <c r="F13" s="43">
        <f>IF($A13="","",Calendrier!$G14)</f>
        <v/>
      </c>
      <c r="G13" s="42">
        <f>IF($A13="","",Calendrier!$H14)</f>
        <v/>
      </c>
      <c r="H13" s="42">
        <f>IF($A13="","",Calendrier!$I14)</f>
        <v/>
      </c>
    </row>
    <row r="14">
      <c r="A14" s="41">
        <f>IF(Calendrier!$F15&gt;0,Calendrier!$A15,"")</f>
        <v/>
      </c>
      <c r="B14" s="42">
        <f>IF($A14="","",Calendrier!$B15)</f>
        <v/>
      </c>
      <c r="C14" s="42">
        <f>IF($A14="","",Calendrier!$D15)</f>
        <v/>
      </c>
      <c r="D14" s="43">
        <f>IF($A14="","",Calendrier!$E15)</f>
        <v/>
      </c>
      <c r="E14" s="43">
        <f>IF($A14="","",Calendrier!$F15)</f>
        <v/>
      </c>
      <c r="F14" s="43">
        <f>IF($A14="","",Calendrier!$G15)</f>
        <v/>
      </c>
      <c r="G14" s="42">
        <f>IF($A14="","",Calendrier!$H15)</f>
        <v/>
      </c>
      <c r="H14" s="42">
        <f>IF($A14="","",Calendrier!$I15)</f>
        <v/>
      </c>
    </row>
    <row r="15">
      <c r="A15" s="41">
        <f>IF(Calendrier!$F16&gt;0,Calendrier!$A16,"")</f>
        <v/>
      </c>
      <c r="B15" s="42">
        <f>IF($A15="","",Calendrier!$B16)</f>
        <v/>
      </c>
      <c r="C15" s="42">
        <f>IF($A15="","",Calendrier!$D16)</f>
        <v/>
      </c>
      <c r="D15" s="43">
        <f>IF($A15="","",Calendrier!$E16)</f>
        <v/>
      </c>
      <c r="E15" s="43">
        <f>IF($A15="","",Calendrier!$F16)</f>
        <v/>
      </c>
      <c r="F15" s="43">
        <f>IF($A15="","",Calendrier!$G16)</f>
        <v/>
      </c>
      <c r="G15" s="42">
        <f>IF($A15="","",Calendrier!$H16)</f>
        <v/>
      </c>
      <c r="H15" s="42">
        <f>IF($A15="","",Calendrier!$I16)</f>
        <v/>
      </c>
    </row>
    <row r="16">
      <c r="A16" s="41">
        <f>IF(Calendrier!$F17&gt;0,Calendrier!$A17,"")</f>
        <v/>
      </c>
      <c r="B16" s="42">
        <f>IF($A16="","",Calendrier!$B17)</f>
        <v/>
      </c>
      <c r="C16" s="42">
        <f>IF($A16="","",Calendrier!$D17)</f>
        <v/>
      </c>
      <c r="D16" s="43">
        <f>IF($A16="","",Calendrier!$E17)</f>
        <v/>
      </c>
      <c r="E16" s="43">
        <f>IF($A16="","",Calendrier!$F17)</f>
        <v/>
      </c>
      <c r="F16" s="43">
        <f>IF($A16="","",Calendrier!$G17)</f>
        <v/>
      </c>
      <c r="G16" s="42">
        <f>IF($A16="","",Calendrier!$H17)</f>
        <v/>
      </c>
      <c r="H16" s="42">
        <f>IF($A16="","",Calendrier!$I17)</f>
        <v/>
      </c>
    </row>
    <row r="17">
      <c r="A17" s="41">
        <f>IF(Calendrier!$F18&gt;0,Calendrier!$A18,"")</f>
        <v/>
      </c>
      <c r="B17" s="42">
        <f>IF($A17="","",Calendrier!$B18)</f>
        <v/>
      </c>
      <c r="C17" s="42">
        <f>IF($A17="","",Calendrier!$D18)</f>
        <v/>
      </c>
      <c r="D17" s="43">
        <f>IF($A17="","",Calendrier!$E18)</f>
        <v/>
      </c>
      <c r="E17" s="43">
        <f>IF($A17="","",Calendrier!$F18)</f>
        <v/>
      </c>
      <c r="F17" s="43">
        <f>IF($A17="","",Calendrier!$G18)</f>
        <v/>
      </c>
      <c r="G17" s="42">
        <f>IF($A17="","",Calendrier!$H18)</f>
        <v/>
      </c>
      <c r="H17" s="42">
        <f>IF($A17="","",Calendrier!$I18)</f>
        <v/>
      </c>
    </row>
    <row r="18">
      <c r="A18" s="41">
        <f>IF(Calendrier!$F19&gt;0,Calendrier!$A19,"")</f>
        <v/>
      </c>
      <c r="B18" s="42">
        <f>IF($A18="","",Calendrier!$B19)</f>
        <v/>
      </c>
      <c r="C18" s="42">
        <f>IF($A18="","",Calendrier!$D19)</f>
        <v/>
      </c>
      <c r="D18" s="43">
        <f>IF($A18="","",Calendrier!$E19)</f>
        <v/>
      </c>
      <c r="E18" s="43">
        <f>IF($A18="","",Calendrier!$F19)</f>
        <v/>
      </c>
      <c r="F18" s="43">
        <f>IF($A18="","",Calendrier!$G19)</f>
        <v/>
      </c>
      <c r="G18" s="42">
        <f>IF($A18="","",Calendrier!$H19)</f>
        <v/>
      </c>
      <c r="H18" s="42">
        <f>IF($A18="","",Calendrier!$I19)</f>
        <v/>
      </c>
    </row>
    <row r="19">
      <c r="A19" s="41">
        <f>IF(Calendrier!$F20&gt;0,Calendrier!$A20,"")</f>
        <v/>
      </c>
      <c r="B19" s="42">
        <f>IF($A19="","",Calendrier!$B20)</f>
        <v/>
      </c>
      <c r="C19" s="42">
        <f>IF($A19="","",Calendrier!$D20)</f>
        <v/>
      </c>
      <c r="D19" s="43">
        <f>IF($A19="","",Calendrier!$E20)</f>
        <v/>
      </c>
      <c r="E19" s="43">
        <f>IF($A19="","",Calendrier!$F20)</f>
        <v/>
      </c>
      <c r="F19" s="43">
        <f>IF($A19="","",Calendrier!$G20)</f>
        <v/>
      </c>
      <c r="G19" s="42">
        <f>IF($A19="","",Calendrier!$H20)</f>
        <v/>
      </c>
      <c r="H19" s="42">
        <f>IF($A19="","",Calendrier!$I20)</f>
        <v/>
      </c>
    </row>
    <row r="20">
      <c r="A20" s="41">
        <f>IF(Calendrier!$F21&gt;0,Calendrier!$A21,"")</f>
        <v/>
      </c>
      <c r="B20" s="42">
        <f>IF($A20="","",Calendrier!$B21)</f>
        <v/>
      </c>
      <c r="C20" s="42">
        <f>IF($A20="","",Calendrier!$D21)</f>
        <v/>
      </c>
      <c r="D20" s="43">
        <f>IF($A20="","",Calendrier!$E21)</f>
        <v/>
      </c>
      <c r="E20" s="43">
        <f>IF($A20="","",Calendrier!$F21)</f>
        <v/>
      </c>
      <c r="F20" s="43">
        <f>IF($A20="","",Calendrier!$G21)</f>
        <v/>
      </c>
      <c r="G20" s="42">
        <f>IF($A20="","",Calendrier!$H21)</f>
        <v/>
      </c>
      <c r="H20" s="42">
        <f>IF($A20="","",Calendrier!$I21)</f>
        <v/>
      </c>
    </row>
    <row r="21">
      <c r="A21" s="41">
        <f>IF(Calendrier!$F22&gt;0,Calendrier!$A22,"")</f>
        <v/>
      </c>
      <c r="B21" s="42">
        <f>IF($A21="","",Calendrier!$B22)</f>
        <v/>
      </c>
      <c r="C21" s="42">
        <f>IF($A21="","",Calendrier!$D22)</f>
        <v/>
      </c>
      <c r="D21" s="43">
        <f>IF($A21="","",Calendrier!$E22)</f>
        <v/>
      </c>
      <c r="E21" s="43">
        <f>IF($A21="","",Calendrier!$F22)</f>
        <v/>
      </c>
      <c r="F21" s="43">
        <f>IF($A21="","",Calendrier!$G22)</f>
        <v/>
      </c>
      <c r="G21" s="42">
        <f>IF($A21="","",Calendrier!$H22)</f>
        <v/>
      </c>
      <c r="H21" s="42">
        <f>IF($A21="","",Calendrier!$I22)</f>
        <v/>
      </c>
    </row>
    <row r="22">
      <c r="A22" s="41">
        <f>IF(Calendrier!$F23&gt;0,Calendrier!$A23,"")</f>
        <v/>
      </c>
      <c r="B22" s="42">
        <f>IF($A22="","",Calendrier!$B23)</f>
        <v/>
      </c>
      <c r="C22" s="42">
        <f>IF($A22="","",Calendrier!$D23)</f>
        <v/>
      </c>
      <c r="D22" s="43">
        <f>IF($A22="","",Calendrier!$E23)</f>
        <v/>
      </c>
      <c r="E22" s="43">
        <f>IF($A22="","",Calendrier!$F23)</f>
        <v/>
      </c>
      <c r="F22" s="43">
        <f>IF($A22="","",Calendrier!$G23)</f>
        <v/>
      </c>
      <c r="G22" s="42">
        <f>IF($A22="","",Calendrier!$H23)</f>
        <v/>
      </c>
      <c r="H22" s="42">
        <f>IF($A22="","",Calendrier!$I23)</f>
        <v/>
      </c>
    </row>
    <row r="23">
      <c r="A23" s="41">
        <f>IF(Calendrier!$F24&gt;0,Calendrier!$A24,"")</f>
        <v/>
      </c>
      <c r="B23" s="42">
        <f>IF($A23="","",Calendrier!$B24)</f>
        <v/>
      </c>
      <c r="C23" s="42">
        <f>IF($A23="","",Calendrier!$D24)</f>
        <v/>
      </c>
      <c r="D23" s="43">
        <f>IF($A23="","",Calendrier!$E24)</f>
        <v/>
      </c>
      <c r="E23" s="43">
        <f>IF($A23="","",Calendrier!$F24)</f>
        <v/>
      </c>
      <c r="F23" s="43">
        <f>IF($A23="","",Calendrier!$G24)</f>
        <v/>
      </c>
      <c r="G23" s="42">
        <f>IF($A23="","",Calendrier!$H24)</f>
        <v/>
      </c>
      <c r="H23" s="42">
        <f>IF($A23="","",Calendrier!$I24)</f>
        <v/>
      </c>
    </row>
    <row r="24">
      <c r="A24" s="41">
        <f>IF(Calendrier!$F25&gt;0,Calendrier!$A25,"")</f>
        <v/>
      </c>
      <c r="B24" s="42">
        <f>IF($A24="","",Calendrier!$B25)</f>
        <v/>
      </c>
      <c r="C24" s="42">
        <f>IF($A24="","",Calendrier!$D25)</f>
        <v/>
      </c>
      <c r="D24" s="43">
        <f>IF($A24="","",Calendrier!$E25)</f>
        <v/>
      </c>
      <c r="E24" s="43">
        <f>IF($A24="","",Calendrier!$F25)</f>
        <v/>
      </c>
      <c r="F24" s="43">
        <f>IF($A24="","",Calendrier!$G25)</f>
        <v/>
      </c>
      <c r="G24" s="42">
        <f>IF($A24="","",Calendrier!$H25)</f>
        <v/>
      </c>
      <c r="H24" s="42">
        <f>IF($A24="","",Calendrier!$I25)</f>
        <v/>
      </c>
    </row>
    <row r="25">
      <c r="A25" s="41">
        <f>IF(Calendrier!$F26&gt;0,Calendrier!$A26,"")</f>
        <v/>
      </c>
      <c r="B25" s="42">
        <f>IF($A25="","",Calendrier!$B26)</f>
        <v/>
      </c>
      <c r="C25" s="42">
        <f>IF($A25="","",Calendrier!$D26)</f>
        <v/>
      </c>
      <c r="D25" s="43">
        <f>IF($A25="","",Calendrier!$E26)</f>
        <v/>
      </c>
      <c r="E25" s="43">
        <f>IF($A25="","",Calendrier!$F26)</f>
        <v/>
      </c>
      <c r="F25" s="43">
        <f>IF($A25="","",Calendrier!$G26)</f>
        <v/>
      </c>
      <c r="G25" s="42">
        <f>IF($A25="","",Calendrier!$H26)</f>
        <v/>
      </c>
      <c r="H25" s="42">
        <f>IF($A25="","",Calendrier!$I26)</f>
        <v/>
      </c>
    </row>
    <row r="26">
      <c r="A26" s="41">
        <f>IF(Calendrier!$F27&gt;0,Calendrier!$A27,"")</f>
        <v/>
      </c>
      <c r="B26" s="42">
        <f>IF($A26="","",Calendrier!$B27)</f>
        <v/>
      </c>
      <c r="C26" s="42">
        <f>IF($A26="","",Calendrier!$D27)</f>
        <v/>
      </c>
      <c r="D26" s="43">
        <f>IF($A26="","",Calendrier!$E27)</f>
        <v/>
      </c>
      <c r="E26" s="43">
        <f>IF($A26="","",Calendrier!$F27)</f>
        <v/>
      </c>
      <c r="F26" s="43">
        <f>IF($A26="","",Calendrier!$G27)</f>
        <v/>
      </c>
      <c r="G26" s="42">
        <f>IF($A26="","",Calendrier!$H27)</f>
        <v/>
      </c>
      <c r="H26" s="42">
        <f>IF($A26="","",Calendrier!$I27)</f>
        <v/>
      </c>
    </row>
    <row r="27">
      <c r="A27" s="41">
        <f>IF(Calendrier!$F28&gt;0,Calendrier!$A28,"")</f>
        <v/>
      </c>
      <c r="B27" s="42">
        <f>IF($A27="","",Calendrier!$B28)</f>
        <v/>
      </c>
      <c r="C27" s="42">
        <f>IF($A27="","",Calendrier!$D28)</f>
        <v/>
      </c>
      <c r="D27" s="43">
        <f>IF($A27="","",Calendrier!$E28)</f>
        <v/>
      </c>
      <c r="E27" s="43">
        <f>IF($A27="","",Calendrier!$F28)</f>
        <v/>
      </c>
      <c r="F27" s="43">
        <f>IF($A27="","",Calendrier!$G28)</f>
        <v/>
      </c>
      <c r="G27" s="42">
        <f>IF($A27="","",Calendrier!$H28)</f>
        <v/>
      </c>
      <c r="H27" s="42">
        <f>IF($A27="","",Calendrier!$I28)</f>
        <v/>
      </c>
    </row>
    <row r="28">
      <c r="A28" s="41">
        <f>IF(Calendrier!$F29&gt;0,Calendrier!$A29,"")</f>
        <v/>
      </c>
      <c r="B28" s="42">
        <f>IF($A28="","",Calendrier!$B29)</f>
        <v/>
      </c>
      <c r="C28" s="42">
        <f>IF($A28="","",Calendrier!$D29)</f>
        <v/>
      </c>
      <c r="D28" s="43">
        <f>IF($A28="","",Calendrier!$E29)</f>
        <v/>
      </c>
      <c r="E28" s="43">
        <f>IF($A28="","",Calendrier!$F29)</f>
        <v/>
      </c>
      <c r="F28" s="43">
        <f>IF($A28="","",Calendrier!$G29)</f>
        <v/>
      </c>
      <c r="G28" s="42">
        <f>IF($A28="","",Calendrier!$H29)</f>
        <v/>
      </c>
      <c r="H28" s="42">
        <f>IF($A28="","",Calendrier!$I29)</f>
        <v/>
      </c>
    </row>
    <row r="29">
      <c r="A29" s="41">
        <f>IF(Calendrier!$F30&gt;0,Calendrier!$A30,"")</f>
        <v/>
      </c>
      <c r="B29" s="42">
        <f>IF($A29="","",Calendrier!$B30)</f>
        <v/>
      </c>
      <c r="C29" s="42">
        <f>IF($A29="","",Calendrier!$D30)</f>
        <v/>
      </c>
      <c r="D29" s="43">
        <f>IF($A29="","",Calendrier!$E30)</f>
        <v/>
      </c>
      <c r="E29" s="43">
        <f>IF($A29="","",Calendrier!$F30)</f>
        <v/>
      </c>
      <c r="F29" s="43">
        <f>IF($A29="","",Calendrier!$G30)</f>
        <v/>
      </c>
      <c r="G29" s="42">
        <f>IF($A29="","",Calendrier!$H30)</f>
        <v/>
      </c>
      <c r="H29" s="42">
        <f>IF($A29="","",Calendrier!$I30)</f>
        <v/>
      </c>
    </row>
    <row r="30">
      <c r="A30" s="41">
        <f>IF(Calendrier!$F31&gt;0,Calendrier!$A31,"")</f>
        <v/>
      </c>
      <c r="B30" s="42">
        <f>IF($A30="","",Calendrier!$B31)</f>
        <v/>
      </c>
      <c r="C30" s="42">
        <f>IF($A30="","",Calendrier!$D31)</f>
        <v/>
      </c>
      <c r="D30" s="43">
        <f>IF($A30="","",Calendrier!$E31)</f>
        <v/>
      </c>
      <c r="E30" s="43">
        <f>IF($A30="","",Calendrier!$F31)</f>
        <v/>
      </c>
      <c r="F30" s="43">
        <f>IF($A30="","",Calendrier!$G31)</f>
        <v/>
      </c>
      <c r="G30" s="42">
        <f>IF($A30="","",Calendrier!$H31)</f>
        <v/>
      </c>
      <c r="H30" s="42">
        <f>IF($A30="","",Calendrier!$I31)</f>
        <v/>
      </c>
    </row>
    <row r="31">
      <c r="A31" s="41">
        <f>IF(Calendrier!$F32&gt;0,Calendrier!$A32,"")</f>
        <v/>
      </c>
      <c r="B31" s="42">
        <f>IF($A31="","",Calendrier!$B32)</f>
        <v/>
      </c>
      <c r="C31" s="42">
        <f>IF($A31="","",Calendrier!$D32)</f>
        <v/>
      </c>
      <c r="D31" s="43">
        <f>IF($A31="","",Calendrier!$E32)</f>
        <v/>
      </c>
      <c r="E31" s="43">
        <f>IF($A31="","",Calendrier!$F32)</f>
        <v/>
      </c>
      <c r="F31" s="43">
        <f>IF($A31="","",Calendrier!$G32)</f>
        <v/>
      </c>
      <c r="G31" s="42">
        <f>IF($A31="","",Calendrier!$H32)</f>
        <v/>
      </c>
      <c r="H31" s="42">
        <f>IF($A31="","",Calendrier!$I32)</f>
        <v/>
      </c>
    </row>
    <row r="32">
      <c r="A32" s="41">
        <f>IF(Calendrier!$F33&gt;0,Calendrier!$A33,"")</f>
        <v/>
      </c>
      <c r="B32" s="42">
        <f>IF($A32="","",Calendrier!$B33)</f>
        <v/>
      </c>
      <c r="C32" s="42">
        <f>IF($A32="","",Calendrier!$D33)</f>
        <v/>
      </c>
      <c r="D32" s="43">
        <f>IF($A32="","",Calendrier!$E33)</f>
        <v/>
      </c>
      <c r="E32" s="43">
        <f>IF($A32="","",Calendrier!$F33)</f>
        <v/>
      </c>
      <c r="F32" s="43">
        <f>IF($A32="","",Calendrier!$G33)</f>
        <v/>
      </c>
      <c r="G32" s="42">
        <f>IF($A32="","",Calendrier!$H33)</f>
        <v/>
      </c>
      <c r="H32" s="42">
        <f>IF($A32="","",Calendrier!$I33)</f>
        <v/>
      </c>
    </row>
    <row r="33">
      <c r="A33" s="41">
        <f>IF(Calendrier!$F34&gt;0,Calendrier!$A34,"")</f>
        <v/>
      </c>
      <c r="B33" s="42">
        <f>IF($A33="","",Calendrier!$B34)</f>
        <v/>
      </c>
      <c r="C33" s="42">
        <f>IF($A33="","",Calendrier!$D34)</f>
        <v/>
      </c>
      <c r="D33" s="43">
        <f>IF($A33="","",Calendrier!$E34)</f>
        <v/>
      </c>
      <c r="E33" s="43">
        <f>IF($A33="","",Calendrier!$F34)</f>
        <v/>
      </c>
      <c r="F33" s="43">
        <f>IF($A33="","",Calendrier!$G34)</f>
        <v/>
      </c>
      <c r="G33" s="42">
        <f>IF($A33="","",Calendrier!$H34)</f>
        <v/>
      </c>
      <c r="H33" s="42">
        <f>IF($A33="","",Calendrier!$I34)</f>
        <v/>
      </c>
    </row>
    <row r="34">
      <c r="A34" s="41">
        <f>IF(Calendrier!$F35&gt;0,Calendrier!$A35,"")</f>
        <v/>
      </c>
      <c r="B34" s="42">
        <f>IF($A34="","",Calendrier!$B35)</f>
        <v/>
      </c>
      <c r="C34" s="42">
        <f>IF($A34="","",Calendrier!$D35)</f>
        <v/>
      </c>
      <c r="D34" s="43">
        <f>IF($A34="","",Calendrier!$E35)</f>
        <v/>
      </c>
      <c r="E34" s="43">
        <f>IF($A34="","",Calendrier!$F35)</f>
        <v/>
      </c>
      <c r="F34" s="43">
        <f>IF($A34="","",Calendrier!$G35)</f>
        <v/>
      </c>
      <c r="G34" s="42">
        <f>IF($A34="","",Calendrier!$H35)</f>
        <v/>
      </c>
      <c r="H34" s="42">
        <f>IF($A34="","",Calendrier!$I35)</f>
        <v/>
      </c>
    </row>
    <row r="35">
      <c r="A35" s="41">
        <f>IF(Calendrier!$F36&gt;0,Calendrier!$A36,"")</f>
        <v/>
      </c>
      <c r="B35" s="42">
        <f>IF($A35="","",Calendrier!$B36)</f>
        <v/>
      </c>
      <c r="C35" s="42">
        <f>IF($A35="","",Calendrier!$D36)</f>
        <v/>
      </c>
      <c r="D35" s="43">
        <f>IF($A35="","",Calendrier!$E36)</f>
        <v/>
      </c>
      <c r="E35" s="43">
        <f>IF($A35="","",Calendrier!$F36)</f>
        <v/>
      </c>
      <c r="F35" s="43">
        <f>IF($A35="","",Calendrier!$G36)</f>
        <v/>
      </c>
      <c r="G35" s="42">
        <f>IF($A35="","",Calendrier!$H36)</f>
        <v/>
      </c>
      <c r="H35" s="42">
        <f>IF($A35="","",Calendrier!$I36)</f>
        <v/>
      </c>
    </row>
    <row r="36">
      <c r="A36" s="41">
        <f>IF(Calendrier!$F37&gt;0,Calendrier!$A37,"")</f>
        <v/>
      </c>
      <c r="B36" s="42">
        <f>IF($A36="","",Calendrier!$B37)</f>
        <v/>
      </c>
      <c r="C36" s="42">
        <f>IF($A36="","",Calendrier!$D37)</f>
        <v/>
      </c>
      <c r="D36" s="43">
        <f>IF($A36="","",Calendrier!$E37)</f>
        <v/>
      </c>
      <c r="E36" s="43">
        <f>IF($A36="","",Calendrier!$F37)</f>
        <v/>
      </c>
      <c r="F36" s="43">
        <f>IF($A36="","",Calendrier!$G37)</f>
        <v/>
      </c>
      <c r="G36" s="42">
        <f>IF($A36="","",Calendrier!$H37)</f>
        <v/>
      </c>
      <c r="H36" s="42">
        <f>IF($A36="","",Calendrier!$I37)</f>
        <v/>
      </c>
    </row>
    <row r="37">
      <c r="A37" s="41">
        <f>IF(Calendrier!$F38&gt;0,Calendrier!$A38,"")</f>
        <v/>
      </c>
      <c r="B37" s="42">
        <f>IF($A37="","",Calendrier!$B38)</f>
        <v/>
      </c>
      <c r="C37" s="42">
        <f>IF($A37="","",Calendrier!$D38)</f>
        <v/>
      </c>
      <c r="D37" s="43">
        <f>IF($A37="","",Calendrier!$E38)</f>
        <v/>
      </c>
      <c r="E37" s="43">
        <f>IF($A37="","",Calendrier!$F38)</f>
        <v/>
      </c>
      <c r="F37" s="43">
        <f>IF($A37="","",Calendrier!$G38)</f>
        <v/>
      </c>
      <c r="G37" s="42">
        <f>IF($A37="","",Calendrier!$H38)</f>
        <v/>
      </c>
      <c r="H37" s="42">
        <f>IF($A37="","",Calendrier!$I38)</f>
        <v/>
      </c>
    </row>
    <row r="38">
      <c r="A38" s="41">
        <f>IF(Calendrier!$F39&gt;0,Calendrier!$A39,"")</f>
        <v/>
      </c>
      <c r="B38" s="42">
        <f>IF($A38="","",Calendrier!$B39)</f>
        <v/>
      </c>
      <c r="C38" s="42">
        <f>IF($A38="","",Calendrier!$D39)</f>
        <v/>
      </c>
      <c r="D38" s="43">
        <f>IF($A38="","",Calendrier!$E39)</f>
        <v/>
      </c>
      <c r="E38" s="43">
        <f>IF($A38="","",Calendrier!$F39)</f>
        <v/>
      </c>
      <c r="F38" s="43">
        <f>IF($A38="","",Calendrier!$G39)</f>
        <v/>
      </c>
      <c r="G38" s="42">
        <f>IF($A38="","",Calendrier!$H39)</f>
        <v/>
      </c>
      <c r="H38" s="42">
        <f>IF($A38="","",Calendrier!$I39)</f>
        <v/>
      </c>
    </row>
    <row r="39">
      <c r="A39" s="41">
        <f>IF(Calendrier!$F40&gt;0,Calendrier!$A40,"")</f>
        <v/>
      </c>
      <c r="B39" s="42">
        <f>IF($A39="","",Calendrier!$B40)</f>
        <v/>
      </c>
      <c r="C39" s="42">
        <f>IF($A39="","",Calendrier!$D40)</f>
        <v/>
      </c>
      <c r="D39" s="43">
        <f>IF($A39="","",Calendrier!$E40)</f>
        <v/>
      </c>
      <c r="E39" s="43">
        <f>IF($A39="","",Calendrier!$F40)</f>
        <v/>
      </c>
      <c r="F39" s="43">
        <f>IF($A39="","",Calendrier!$G40)</f>
        <v/>
      </c>
      <c r="G39" s="42">
        <f>IF($A39="","",Calendrier!$H40)</f>
        <v/>
      </c>
      <c r="H39" s="42">
        <f>IF($A39="","",Calendrier!$I40)</f>
        <v/>
      </c>
    </row>
    <row r="40">
      <c r="A40" s="41">
        <f>IF(Calendrier!$F41&gt;0,Calendrier!$A41,"")</f>
        <v/>
      </c>
      <c r="B40" s="42">
        <f>IF($A40="","",Calendrier!$B41)</f>
        <v/>
      </c>
      <c r="C40" s="42">
        <f>IF($A40="","",Calendrier!$D41)</f>
        <v/>
      </c>
      <c r="D40" s="43">
        <f>IF($A40="","",Calendrier!$E41)</f>
        <v/>
      </c>
      <c r="E40" s="43">
        <f>IF($A40="","",Calendrier!$F41)</f>
        <v/>
      </c>
      <c r="F40" s="43">
        <f>IF($A40="","",Calendrier!$G41)</f>
        <v/>
      </c>
      <c r="G40" s="42">
        <f>IF($A40="","",Calendrier!$H41)</f>
        <v/>
      </c>
      <c r="H40" s="42">
        <f>IF($A40="","",Calendrier!$I41)</f>
        <v/>
      </c>
    </row>
    <row r="41">
      <c r="A41" s="41">
        <f>IF(Calendrier!$F42&gt;0,Calendrier!$A42,"")</f>
        <v/>
      </c>
      <c r="B41" s="42">
        <f>IF($A41="","",Calendrier!$B42)</f>
        <v/>
      </c>
      <c r="C41" s="42">
        <f>IF($A41="","",Calendrier!$D42)</f>
        <v/>
      </c>
      <c r="D41" s="43">
        <f>IF($A41="","",Calendrier!$E42)</f>
        <v/>
      </c>
      <c r="E41" s="43">
        <f>IF($A41="","",Calendrier!$F42)</f>
        <v/>
      </c>
      <c r="F41" s="43">
        <f>IF($A41="","",Calendrier!$G42)</f>
        <v/>
      </c>
      <c r="G41" s="42">
        <f>IF($A41="","",Calendrier!$H42)</f>
        <v/>
      </c>
      <c r="H41" s="42">
        <f>IF($A41="","",Calendrier!$I42)</f>
        <v/>
      </c>
    </row>
  </sheetData>
  <mergeCells count="1">
    <mergeCell ref="A1:H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I3"/>
  <sheetViews>
    <sheetView showGridLines="0" workbookViewId="0">
      <selection activeCell="A1" sqref="A1"/>
    </sheetView>
  </sheetViews>
  <sheetFormatPr baseColWidth="8" defaultRowHeight="15"/>
  <cols>
    <col width="18" customWidth="1" style="19" min="1" max="1"/>
    <col width="14" customWidth="1" style="19" min="2" max="2"/>
    <col width="10" customWidth="1" style="19" min="3" max="3"/>
    <col width="10" customWidth="1" style="19" min="4" max="4"/>
    <col width="10" customWidth="1" style="19" min="5" max="5"/>
    <col width="16" customWidth="1" style="19" min="6" max="6"/>
    <col width="10" customWidth="1" style="19" min="7" max="7"/>
    <col width="25" customWidth="1" style="19" min="8" max="8"/>
    <col width="70" customWidth="1" style="19" min="9" max="9"/>
  </cols>
  <sheetData>
    <row r="1">
      <c r="A1" s="33" t="inlineStr">
        <is>
          <t>Archives des envois FO</t>
        </is>
      </c>
      <c r="B1" s="28" t="n"/>
      <c r="C1" s="28" t="n"/>
      <c r="D1" s="28" t="n"/>
      <c r="E1" s="28" t="n"/>
      <c r="F1" s="28" t="n"/>
      <c r="G1" s="28" t="n"/>
      <c r="H1" s="28" t="n"/>
      <c r="I1" s="28" t="n"/>
    </row>
    <row r="2">
      <c r="A2" s="28" t="n"/>
      <c r="B2" s="28" t="n"/>
      <c r="C2" s="28" t="n"/>
      <c r="D2" s="28" t="n"/>
      <c r="E2" s="28" t="n"/>
      <c r="F2" s="28" t="n"/>
      <c r="G2" s="28" t="n"/>
      <c r="H2" s="28" t="n"/>
      <c r="I2" s="28" t="n"/>
    </row>
    <row r="3">
      <c r="A3" s="40" t="inlineStr">
        <is>
          <t>Date envoi</t>
        </is>
      </c>
      <c r="B3" s="40" t="inlineStr">
        <is>
          <t>Prénom</t>
        </is>
      </c>
      <c r="C3" s="40" t="inlineStr">
        <is>
          <t>Mois</t>
        </is>
      </c>
      <c r="D3" s="40" t="inlineStr">
        <is>
          <t>Année</t>
        </is>
      </c>
      <c r="E3" s="40" t="inlineStr">
        <is>
          <t>Droit</t>
        </is>
      </c>
      <c r="F3" s="40" t="inlineStr">
        <is>
          <t>Total délégation</t>
        </is>
      </c>
      <c r="G3" s="40" t="inlineStr">
        <is>
          <t>Reste</t>
        </is>
      </c>
      <c r="H3" s="40" t="inlineStr">
        <is>
          <t>Destinataire</t>
        </is>
      </c>
      <c r="I3" s="40" t="inlineStr">
        <is>
          <t>Détail</t>
        </is>
      </c>
    </row>
  </sheetData>
  <mergeCells count="1">
    <mergeCell ref="A1:I1"/>
  </mergeCell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K133"/>
  <sheetViews>
    <sheetView workbookViewId="0">
      <selection activeCell="A1" sqref="A1"/>
    </sheetView>
  </sheetViews>
  <sheetFormatPr baseColWidth="8" defaultRowHeight="15"/>
  <cols>
    <col width="16" customWidth="1" style="19" min="1" max="1"/>
    <col width="14" customWidth="1" style="19" min="2" max="2"/>
    <col width="10" customWidth="1" style="19" min="3" max="3"/>
    <col width="20" customWidth="1" style="19" min="5" max="5"/>
    <col width="14" customWidth="1" style="19" min="6" max="6"/>
    <col width="16" customWidth="1" style="19" min="8" max="8"/>
    <col width="14" customWidth="1" style="19" min="10" max="10"/>
    <col width="22" customWidth="1" style="19" min="11" max="11"/>
  </cols>
  <sheetData>
    <row r="1">
      <c r="A1" s="44" t="inlineStr">
        <is>
          <t>Prénom</t>
        </is>
      </c>
      <c r="B1" s="44" t="inlineStr">
        <is>
          <t>Droit mensuel</t>
        </is>
      </c>
      <c r="C1" s="44" t="inlineStr">
        <is>
          <t>Code</t>
        </is>
      </c>
      <c r="D1" s="28" t="n"/>
      <c r="E1" s="44" t="inlineStr">
        <is>
          <t>Horaire</t>
        </is>
      </c>
      <c r="F1" s="44" t="inlineStr">
        <is>
          <t>Total journée</t>
        </is>
      </c>
      <c r="G1" s="28" t="n"/>
      <c r="H1" s="44" t="inlineStr">
        <is>
          <t>Statut</t>
        </is>
      </c>
      <c r="I1" s="28" t="n"/>
      <c r="J1" s="44" t="inlineStr">
        <is>
          <t>Date fériée</t>
        </is>
      </c>
      <c r="K1" s="44" t="inlineStr">
        <is>
          <t>Nom férié</t>
        </is>
      </c>
    </row>
    <row r="2">
      <c r="A2" s="28" t="inlineStr">
        <is>
          <t>Sandro</t>
        </is>
      </c>
      <c r="B2" s="28" t="n">
        <v>38</v>
      </c>
      <c r="C2" s="28" t="inlineStr">
        <is>
          <t>CMC</t>
        </is>
      </c>
      <c r="D2" s="28" t="n"/>
      <c r="E2" s="28" t="inlineStr">
        <is>
          <t>5h-13h</t>
        </is>
      </c>
      <c r="F2" s="28" t="n">
        <v>8</v>
      </c>
      <c r="G2" s="28" t="n"/>
      <c r="H2" s="28" t="inlineStr">
        <is>
          <t>Présent</t>
        </is>
      </c>
      <c r="I2" s="28" t="n"/>
      <c r="J2" s="45" t="n">
        <v>45292</v>
      </c>
      <c r="K2" s="28" t="inlineStr">
        <is>
          <t>Jour de l’an</t>
        </is>
      </c>
    </row>
    <row r="3">
      <c r="A3" s="28" t="inlineStr">
        <is>
          <t>Laurent</t>
        </is>
      </c>
      <c r="B3" s="28" t="n">
        <v>21</v>
      </c>
      <c r="C3" s="28" t="inlineStr">
        <is>
          <t>CMC</t>
        </is>
      </c>
      <c r="D3" s="28" t="n"/>
      <c r="E3" s="28" t="inlineStr">
        <is>
          <t>13h-21h</t>
        </is>
      </c>
      <c r="F3" s="28" t="n">
        <v>8</v>
      </c>
      <c r="G3" s="28" t="n"/>
      <c r="H3" s="28" t="inlineStr">
        <is>
          <t>Délégation</t>
        </is>
      </c>
      <c r="I3" s="28" t="n"/>
      <c r="J3" s="45" t="n">
        <v>45383</v>
      </c>
      <c r="K3" s="28" t="inlineStr">
        <is>
          <t>Lundi de Pâques</t>
        </is>
      </c>
    </row>
    <row r="4">
      <c r="A4" s="28" t="inlineStr">
        <is>
          <t>Karim</t>
        </is>
      </c>
      <c r="B4" s="28" t="n">
        <v>21</v>
      </c>
      <c r="C4" s="28" t="inlineStr">
        <is>
          <t>CMC</t>
        </is>
      </c>
      <c r="D4" s="28" t="n"/>
      <c r="E4" s="28" t="inlineStr">
        <is>
          <t>21h-5h</t>
        </is>
      </c>
      <c r="F4" s="28" t="n">
        <v>8</v>
      </c>
      <c r="G4" s="28" t="n"/>
      <c r="H4" s="28" t="inlineStr">
        <is>
          <t>RTT</t>
        </is>
      </c>
      <c r="I4" s="28" t="n"/>
      <c r="J4" s="45" t="n">
        <v>45413</v>
      </c>
      <c r="K4" s="28" t="inlineStr">
        <is>
          <t>Fête du Travail</t>
        </is>
      </c>
    </row>
    <row r="5">
      <c r="A5" s="28" t="inlineStr">
        <is>
          <t>Sébastien</t>
        </is>
      </c>
      <c r="B5" s="28" t="n">
        <v>21</v>
      </c>
      <c r="C5" s="28" t="inlineStr">
        <is>
          <t>CMC</t>
        </is>
      </c>
      <c r="D5" s="28" t="n"/>
      <c r="E5" s="28" t="inlineStr">
        <is>
          <t>Journée réduite 7h</t>
        </is>
      </c>
      <c r="F5" s="28" t="n">
        <v>7</v>
      </c>
      <c r="G5" s="28" t="n"/>
      <c r="H5" s="28" t="inlineStr">
        <is>
          <t>Congé payé</t>
        </is>
      </c>
      <c r="I5" s="28" t="n"/>
      <c r="J5" s="45" t="n">
        <v>45420</v>
      </c>
      <c r="K5" s="28" t="inlineStr">
        <is>
          <t>Victoire 1945</t>
        </is>
      </c>
    </row>
    <row r="6">
      <c r="A6" s="28" t="n"/>
      <c r="B6" s="28" t="n"/>
      <c r="C6" s="28" t="n"/>
      <c r="D6" s="28" t="n"/>
      <c r="E6" s="28" t="inlineStr">
        <is>
          <t>Repos / non travaillé</t>
        </is>
      </c>
      <c r="F6" s="28" t="n">
        <v>0</v>
      </c>
      <c r="G6" s="28" t="n"/>
      <c r="H6" s="28" t="inlineStr">
        <is>
          <t>Maladie</t>
        </is>
      </c>
      <c r="I6" s="28" t="n"/>
      <c r="J6" s="45" t="n">
        <v>45421</v>
      </c>
      <c r="K6" s="28" t="inlineStr">
        <is>
          <t>Ascension</t>
        </is>
      </c>
    </row>
    <row r="7">
      <c r="A7" s="28" t="n"/>
      <c r="B7" s="28" t="n"/>
      <c r="C7" s="28" t="n"/>
      <c r="D7" s="28" t="n"/>
      <c r="E7" s="28" t="n"/>
      <c r="F7" s="28" t="n"/>
      <c r="G7" s="28" t="n"/>
      <c r="H7" s="28" t="inlineStr">
        <is>
          <t>Formation</t>
        </is>
      </c>
      <c r="I7" s="28" t="n"/>
      <c r="J7" s="45" t="n">
        <v>45432</v>
      </c>
      <c r="K7" s="28" t="inlineStr">
        <is>
          <t>Lundi de Pentecôte</t>
        </is>
      </c>
    </row>
    <row r="8">
      <c r="A8" s="28" t="n"/>
      <c r="B8" s="28" t="n"/>
      <c r="C8" s="28" t="n"/>
      <c r="D8" s="28" t="n"/>
      <c r="E8" s="28" t="n"/>
      <c r="F8" s="28" t="n"/>
      <c r="G8" s="28" t="n"/>
      <c r="H8" s="28" t="inlineStr">
        <is>
          <t>Autre</t>
        </is>
      </c>
      <c r="I8" s="28" t="n"/>
      <c r="J8" s="45" t="n">
        <v>45487</v>
      </c>
      <c r="K8" s="28" t="inlineStr">
        <is>
          <t>Fête nationale</t>
        </is>
      </c>
    </row>
    <row r="9">
      <c r="A9" s="28" t="n"/>
      <c r="B9" s="28" t="n"/>
      <c r="C9" s="28" t="n"/>
      <c r="D9" s="28" t="n"/>
      <c r="E9" s="28" t="n"/>
      <c r="F9" s="28" t="n"/>
      <c r="G9" s="28" t="n"/>
      <c r="H9" s="28" t="n"/>
      <c r="I9" s="28" t="n"/>
      <c r="J9" s="45" t="n">
        <v>45519</v>
      </c>
      <c r="K9" s="28" t="inlineStr">
        <is>
          <t>Assomption</t>
        </is>
      </c>
    </row>
    <row r="10">
      <c r="A10" s="28" t="n"/>
      <c r="B10" s="28" t="n"/>
      <c r="C10" s="28" t="n"/>
      <c r="D10" s="28" t="n"/>
      <c r="E10" s="28" t="n"/>
      <c r="F10" s="28" t="n"/>
      <c r="G10" s="28" t="n"/>
      <c r="H10" s="28" t="n"/>
      <c r="I10" s="28" t="n"/>
      <c r="J10" s="45" t="n">
        <v>45597</v>
      </c>
      <c r="K10" s="28" t="inlineStr">
        <is>
          <t>Toussaint</t>
        </is>
      </c>
    </row>
    <row r="11">
      <c r="A11" s="28" t="n"/>
      <c r="B11" s="28" t="n"/>
      <c r="C11" s="28" t="n"/>
      <c r="D11" s="28" t="n"/>
      <c r="E11" s="28" t="n"/>
      <c r="F11" s="28" t="n"/>
      <c r="G11" s="28" t="n"/>
      <c r="H11" s="28" t="n"/>
      <c r="I11" s="28" t="n"/>
      <c r="J11" s="45" t="n">
        <v>45607</v>
      </c>
      <c r="K11" s="28" t="inlineStr">
        <is>
          <t>Armistice</t>
        </is>
      </c>
    </row>
    <row r="12">
      <c r="A12" s="28" t="n"/>
      <c r="B12" s="28" t="n"/>
      <c r="C12" s="28" t="n"/>
      <c r="D12" s="28" t="n"/>
      <c r="E12" s="28" t="n"/>
      <c r="F12" s="28" t="n"/>
      <c r="G12" s="28" t="n"/>
      <c r="H12" s="28" t="n"/>
      <c r="I12" s="28" t="n"/>
      <c r="J12" s="45" t="n">
        <v>45651</v>
      </c>
      <c r="K12" s="28" t="inlineStr">
        <is>
          <t>Noël</t>
        </is>
      </c>
    </row>
    <row r="13">
      <c r="A13" s="28" t="n"/>
      <c r="B13" s="28" t="n"/>
      <c r="C13" s="28" t="n"/>
      <c r="D13" s="28" t="n"/>
      <c r="E13" s="28" t="n"/>
      <c r="F13" s="28" t="n"/>
      <c r="G13" s="28" t="n"/>
      <c r="H13" s="28" t="n"/>
      <c r="I13" s="28" t="n"/>
      <c r="J13" s="45" t="n">
        <v>45658</v>
      </c>
      <c r="K13" s="28" t="inlineStr">
        <is>
          <t>Jour de l’an</t>
        </is>
      </c>
    </row>
    <row r="14">
      <c r="A14" s="28" t="n"/>
      <c r="B14" s="28" t="n"/>
      <c r="C14" s="28" t="n"/>
      <c r="D14" s="28" t="n"/>
      <c r="E14" s="28" t="n"/>
      <c r="F14" s="28" t="n"/>
      <c r="G14" s="28" t="n"/>
      <c r="H14" s="28" t="n"/>
      <c r="I14" s="28" t="n"/>
      <c r="J14" s="45" t="n">
        <v>45768</v>
      </c>
      <c r="K14" s="28" t="inlineStr">
        <is>
          <t>Lundi de Pâques</t>
        </is>
      </c>
    </row>
    <row r="15">
      <c r="A15" s="28" t="n"/>
      <c r="B15" s="28" t="n"/>
      <c r="C15" s="28" t="n"/>
      <c r="D15" s="28" t="n"/>
      <c r="E15" s="28" t="n"/>
      <c r="F15" s="28" t="n"/>
      <c r="G15" s="28" t="n"/>
      <c r="H15" s="28" t="n"/>
      <c r="I15" s="28" t="n"/>
      <c r="J15" s="45" t="n">
        <v>45778</v>
      </c>
      <c r="K15" s="28" t="inlineStr">
        <is>
          <t>Fête du Travail</t>
        </is>
      </c>
    </row>
    <row r="16">
      <c r="A16" s="28" t="n"/>
      <c r="B16" s="28" t="n"/>
      <c r="C16" s="28" t="n"/>
      <c r="D16" s="28" t="n"/>
      <c r="E16" s="28" t="n"/>
      <c r="F16" s="28" t="n"/>
      <c r="G16" s="28" t="n"/>
      <c r="H16" s="28" t="n"/>
      <c r="I16" s="28" t="n"/>
      <c r="J16" s="45" t="n">
        <v>45785</v>
      </c>
      <c r="K16" s="28" t="inlineStr">
        <is>
          <t>Victoire 1945</t>
        </is>
      </c>
    </row>
    <row r="17">
      <c r="A17" s="28" t="n"/>
      <c r="B17" s="28" t="n"/>
      <c r="C17" s="28" t="n"/>
      <c r="D17" s="28" t="n"/>
      <c r="E17" s="28" t="n"/>
      <c r="F17" s="28" t="n"/>
      <c r="G17" s="28" t="n"/>
      <c r="H17" s="28" t="n"/>
      <c r="I17" s="28" t="n"/>
      <c r="J17" s="45" t="n">
        <v>45806</v>
      </c>
      <c r="K17" s="28" t="inlineStr">
        <is>
          <t>Ascension</t>
        </is>
      </c>
    </row>
    <row r="18">
      <c r="A18" s="28" t="n"/>
      <c r="B18" s="28" t="n"/>
      <c r="C18" s="28" t="n"/>
      <c r="D18" s="28" t="n"/>
      <c r="E18" s="28" t="n"/>
      <c r="F18" s="28" t="n"/>
      <c r="G18" s="28" t="n"/>
      <c r="H18" s="28" t="n"/>
      <c r="I18" s="28" t="n"/>
      <c r="J18" s="45" t="n">
        <v>45817</v>
      </c>
      <c r="K18" s="28" t="inlineStr">
        <is>
          <t>Lundi de Pentecôte</t>
        </is>
      </c>
    </row>
    <row r="19">
      <c r="A19" s="28" t="n"/>
      <c r="B19" s="28" t="n"/>
      <c r="C19" s="28" t="n"/>
      <c r="D19" s="28" t="n"/>
      <c r="E19" s="28" t="n"/>
      <c r="F19" s="28" t="n"/>
      <c r="G19" s="28" t="n"/>
      <c r="H19" s="28" t="n"/>
      <c r="I19" s="28" t="n"/>
      <c r="J19" s="45" t="n">
        <v>45852</v>
      </c>
      <c r="K19" s="28" t="inlineStr">
        <is>
          <t>Fête nationale</t>
        </is>
      </c>
    </row>
    <row r="20">
      <c r="A20" s="28" t="n"/>
      <c r="B20" s="28" t="n"/>
      <c r="C20" s="28" t="n"/>
      <c r="D20" s="28" t="n"/>
      <c r="E20" s="28" t="n"/>
      <c r="F20" s="28" t="n"/>
      <c r="G20" s="28" t="n"/>
      <c r="H20" s="28" t="n"/>
      <c r="I20" s="28" t="n"/>
      <c r="J20" s="45" t="n">
        <v>45884</v>
      </c>
      <c r="K20" s="28" t="inlineStr">
        <is>
          <t>Assomption</t>
        </is>
      </c>
    </row>
    <row r="21">
      <c r="A21" s="28" t="n"/>
      <c r="B21" s="28" t="n"/>
      <c r="C21" s="28" t="n"/>
      <c r="D21" s="28" t="n"/>
      <c r="E21" s="28" t="n"/>
      <c r="F21" s="28" t="n"/>
      <c r="G21" s="28" t="n"/>
      <c r="H21" s="28" t="n"/>
      <c r="I21" s="28" t="n"/>
      <c r="J21" s="45" t="n">
        <v>45962</v>
      </c>
      <c r="K21" s="28" t="inlineStr">
        <is>
          <t>Toussaint</t>
        </is>
      </c>
    </row>
    <row r="22">
      <c r="A22" s="28" t="n"/>
      <c r="B22" s="28" t="n"/>
      <c r="C22" s="28" t="n"/>
      <c r="D22" s="28" t="n"/>
      <c r="E22" s="28" t="n"/>
      <c r="F22" s="28" t="n"/>
      <c r="G22" s="28" t="n"/>
      <c r="H22" s="28" t="n"/>
      <c r="I22" s="28" t="n"/>
      <c r="J22" s="45" t="n">
        <v>45972</v>
      </c>
      <c r="K22" s="28" t="inlineStr">
        <is>
          <t>Armistice</t>
        </is>
      </c>
    </row>
    <row r="23">
      <c r="A23" s="28" t="n"/>
      <c r="B23" s="28" t="n"/>
      <c r="C23" s="28" t="n"/>
      <c r="D23" s="28" t="n"/>
      <c r="E23" s="28" t="n"/>
      <c r="F23" s="28" t="n"/>
      <c r="G23" s="28" t="n"/>
      <c r="H23" s="28" t="n"/>
      <c r="I23" s="28" t="n"/>
      <c r="J23" s="45" t="n">
        <v>46016</v>
      </c>
      <c r="K23" s="28" t="inlineStr">
        <is>
          <t>Noël</t>
        </is>
      </c>
    </row>
    <row r="24">
      <c r="A24" s="28" t="n"/>
      <c r="B24" s="28" t="n"/>
      <c r="C24" s="28" t="n"/>
      <c r="D24" s="28" t="n"/>
      <c r="E24" s="28" t="n"/>
      <c r="F24" s="28" t="n"/>
      <c r="G24" s="28" t="n"/>
      <c r="H24" s="28" t="n"/>
      <c r="I24" s="28" t="n"/>
      <c r="J24" s="45" t="n">
        <v>46023</v>
      </c>
      <c r="K24" s="28" t="inlineStr">
        <is>
          <t>Jour de l’an</t>
        </is>
      </c>
    </row>
    <row r="25">
      <c r="A25" s="28" t="n"/>
      <c r="B25" s="28" t="n"/>
      <c r="C25" s="28" t="n"/>
      <c r="D25" s="28" t="n"/>
      <c r="E25" s="28" t="n"/>
      <c r="F25" s="28" t="n"/>
      <c r="G25" s="28" t="n"/>
      <c r="H25" s="28" t="n"/>
      <c r="I25" s="28" t="n"/>
      <c r="J25" s="45" t="n">
        <v>46118</v>
      </c>
      <c r="K25" s="28" t="inlineStr">
        <is>
          <t>Lundi de Pâques</t>
        </is>
      </c>
    </row>
    <row r="26">
      <c r="A26" s="28" t="n"/>
      <c r="B26" s="28" t="n"/>
      <c r="C26" s="28" t="n"/>
      <c r="D26" s="28" t="n"/>
      <c r="E26" s="28" t="n"/>
      <c r="F26" s="28" t="n"/>
      <c r="G26" s="28" t="n"/>
      <c r="H26" s="28" t="n"/>
      <c r="I26" s="28" t="n"/>
      <c r="J26" s="45" t="n">
        <v>46143</v>
      </c>
      <c r="K26" s="28" t="inlineStr">
        <is>
          <t>Fête du Travail</t>
        </is>
      </c>
    </row>
    <row r="27">
      <c r="A27" s="28" t="n"/>
      <c r="B27" s="28" t="n"/>
      <c r="C27" s="28" t="n"/>
      <c r="D27" s="28" t="n"/>
      <c r="E27" s="28" t="n"/>
      <c r="F27" s="28" t="n"/>
      <c r="G27" s="28" t="n"/>
      <c r="H27" s="28" t="n"/>
      <c r="I27" s="28" t="n"/>
      <c r="J27" s="45" t="n">
        <v>46150</v>
      </c>
      <c r="K27" s="28" t="inlineStr">
        <is>
          <t>Victoire 1945</t>
        </is>
      </c>
    </row>
    <row r="28">
      <c r="A28" s="28" t="n"/>
      <c r="B28" s="28" t="n"/>
      <c r="C28" s="28" t="n"/>
      <c r="D28" s="28" t="n"/>
      <c r="E28" s="28" t="n"/>
      <c r="F28" s="28" t="n"/>
      <c r="G28" s="28" t="n"/>
      <c r="H28" s="28" t="n"/>
      <c r="I28" s="28" t="n"/>
      <c r="J28" s="45" t="n">
        <v>46156</v>
      </c>
      <c r="K28" s="28" t="inlineStr">
        <is>
          <t>Ascension</t>
        </is>
      </c>
    </row>
    <row r="29">
      <c r="A29" s="28" t="n"/>
      <c r="B29" s="28" t="n"/>
      <c r="C29" s="28" t="n"/>
      <c r="D29" s="28" t="n"/>
      <c r="E29" s="28" t="n"/>
      <c r="F29" s="28" t="n"/>
      <c r="G29" s="28" t="n"/>
      <c r="H29" s="28" t="n"/>
      <c r="I29" s="28" t="n"/>
      <c r="J29" s="45" t="n">
        <v>46167</v>
      </c>
      <c r="K29" s="28" t="inlineStr">
        <is>
          <t>Lundi de Pentecôte</t>
        </is>
      </c>
    </row>
    <row r="30">
      <c r="A30" s="28" t="n"/>
      <c r="B30" s="28" t="n"/>
      <c r="C30" s="28" t="n"/>
      <c r="D30" s="28" t="n"/>
      <c r="E30" s="28" t="n"/>
      <c r="F30" s="28" t="n"/>
      <c r="G30" s="28" t="n"/>
      <c r="H30" s="28" t="n"/>
      <c r="I30" s="28" t="n"/>
      <c r="J30" s="45" t="n">
        <v>46217</v>
      </c>
      <c r="K30" s="28" t="inlineStr">
        <is>
          <t>Fête nationale</t>
        </is>
      </c>
    </row>
    <row r="31">
      <c r="A31" s="28" t="n"/>
      <c r="B31" s="28" t="n"/>
      <c r="C31" s="28" t="n"/>
      <c r="D31" s="28" t="n"/>
      <c r="E31" s="28" t="n"/>
      <c r="F31" s="28" t="n"/>
      <c r="G31" s="28" t="n"/>
      <c r="H31" s="28" t="n"/>
      <c r="I31" s="28" t="n"/>
      <c r="J31" s="45" t="n">
        <v>46249</v>
      </c>
      <c r="K31" s="28" t="inlineStr">
        <is>
          <t>Assomption</t>
        </is>
      </c>
    </row>
    <row r="32">
      <c r="A32" s="28" t="n"/>
      <c r="B32" s="28" t="n"/>
      <c r="C32" s="28" t="n"/>
      <c r="D32" s="28" t="n"/>
      <c r="E32" s="28" t="n"/>
      <c r="F32" s="28" t="n"/>
      <c r="G32" s="28" t="n"/>
      <c r="H32" s="28" t="n"/>
      <c r="I32" s="28" t="n"/>
      <c r="J32" s="45" t="n">
        <v>46327</v>
      </c>
      <c r="K32" s="28" t="inlineStr">
        <is>
          <t>Toussaint</t>
        </is>
      </c>
    </row>
    <row r="33">
      <c r="A33" s="28" t="n"/>
      <c r="B33" s="28" t="n"/>
      <c r="C33" s="28" t="n"/>
      <c r="D33" s="28" t="n"/>
      <c r="E33" s="28" t="n"/>
      <c r="F33" s="28" t="n"/>
      <c r="G33" s="28" t="n"/>
      <c r="H33" s="28" t="n"/>
      <c r="I33" s="28" t="n"/>
      <c r="J33" s="45" t="n">
        <v>46337</v>
      </c>
      <c r="K33" s="28" t="inlineStr">
        <is>
          <t>Armistice</t>
        </is>
      </c>
    </row>
    <row r="34">
      <c r="A34" s="28" t="n"/>
      <c r="B34" s="28" t="n"/>
      <c r="C34" s="28" t="n"/>
      <c r="D34" s="28" t="n"/>
      <c r="E34" s="28" t="n"/>
      <c r="F34" s="28" t="n"/>
      <c r="G34" s="28" t="n"/>
      <c r="H34" s="28" t="n"/>
      <c r="I34" s="28" t="n"/>
      <c r="J34" s="45" t="n">
        <v>46381</v>
      </c>
      <c r="K34" s="28" t="inlineStr">
        <is>
          <t>Noël</t>
        </is>
      </c>
    </row>
    <row r="35">
      <c r="A35" s="28" t="n"/>
      <c r="B35" s="28" t="n"/>
      <c r="C35" s="28" t="n"/>
      <c r="D35" s="28" t="n"/>
      <c r="E35" s="28" t="n"/>
      <c r="F35" s="28" t="n"/>
      <c r="G35" s="28" t="n"/>
      <c r="H35" s="28" t="n"/>
      <c r="I35" s="28" t="n"/>
      <c r="J35" s="45" t="n">
        <v>46388</v>
      </c>
      <c r="K35" s="28" t="inlineStr">
        <is>
          <t>Jour de l’an</t>
        </is>
      </c>
    </row>
    <row r="36">
      <c r="A36" s="28" t="n"/>
      <c r="B36" s="28" t="n"/>
      <c r="C36" s="28" t="n"/>
      <c r="D36" s="28" t="n"/>
      <c r="E36" s="28" t="n"/>
      <c r="F36" s="28" t="n"/>
      <c r="G36" s="28" t="n"/>
      <c r="H36" s="28" t="n"/>
      <c r="I36" s="28" t="n"/>
      <c r="J36" s="45" t="n">
        <v>46475</v>
      </c>
      <c r="K36" s="28" t="inlineStr">
        <is>
          <t>Lundi de Pâques</t>
        </is>
      </c>
    </row>
    <row r="37">
      <c r="A37" s="28" t="n"/>
      <c r="B37" s="28" t="n"/>
      <c r="C37" s="28" t="n"/>
      <c r="D37" s="28" t="n"/>
      <c r="E37" s="28" t="n"/>
      <c r="F37" s="28" t="n"/>
      <c r="G37" s="28" t="n"/>
      <c r="H37" s="28" t="n"/>
      <c r="I37" s="28" t="n"/>
      <c r="J37" s="45" t="n">
        <v>46508</v>
      </c>
      <c r="K37" s="28" t="inlineStr">
        <is>
          <t>Fête du Travail</t>
        </is>
      </c>
    </row>
    <row r="38">
      <c r="A38" s="28" t="n"/>
      <c r="B38" s="28" t="n"/>
      <c r="C38" s="28" t="n"/>
      <c r="D38" s="28" t="n"/>
      <c r="E38" s="28" t="n"/>
      <c r="F38" s="28" t="n"/>
      <c r="G38" s="28" t="n"/>
      <c r="H38" s="28" t="n"/>
      <c r="I38" s="28" t="n"/>
      <c r="J38" s="45" t="n">
        <v>46513</v>
      </c>
      <c r="K38" s="28" t="inlineStr">
        <is>
          <t>Ascension</t>
        </is>
      </c>
    </row>
    <row r="39">
      <c r="A39" s="28" t="n"/>
      <c r="B39" s="28" t="n"/>
      <c r="C39" s="28" t="n"/>
      <c r="D39" s="28" t="n"/>
      <c r="E39" s="28" t="n"/>
      <c r="F39" s="28" t="n"/>
      <c r="G39" s="28" t="n"/>
      <c r="H39" s="28" t="n"/>
      <c r="I39" s="28" t="n"/>
      <c r="J39" s="45" t="n">
        <v>46515</v>
      </c>
      <c r="K39" s="28" t="inlineStr">
        <is>
          <t>Victoire 1945</t>
        </is>
      </c>
    </row>
    <row r="40">
      <c r="A40" s="28" t="n"/>
      <c r="B40" s="28" t="n"/>
      <c r="C40" s="28" t="n"/>
      <c r="D40" s="28" t="n"/>
      <c r="E40" s="28" t="n"/>
      <c r="F40" s="28" t="n"/>
      <c r="G40" s="28" t="n"/>
      <c r="H40" s="28" t="n"/>
      <c r="I40" s="28" t="n"/>
      <c r="J40" s="45" t="n">
        <v>46524</v>
      </c>
      <c r="K40" s="28" t="inlineStr">
        <is>
          <t>Lundi de Pentecôte</t>
        </is>
      </c>
    </row>
    <row r="41">
      <c r="A41" s="28" t="n"/>
      <c r="B41" s="28" t="n"/>
      <c r="C41" s="28" t="n"/>
      <c r="D41" s="28" t="n"/>
      <c r="E41" s="28" t="n"/>
      <c r="F41" s="28" t="n"/>
      <c r="G41" s="28" t="n"/>
      <c r="H41" s="28" t="n"/>
      <c r="I41" s="28" t="n"/>
      <c r="J41" s="45" t="n">
        <v>46582</v>
      </c>
      <c r="K41" s="28" t="inlineStr">
        <is>
          <t>Fête nationale</t>
        </is>
      </c>
    </row>
    <row r="42">
      <c r="A42" s="28" t="n"/>
      <c r="B42" s="28" t="n"/>
      <c r="C42" s="28" t="n"/>
      <c r="D42" s="28" t="n"/>
      <c r="E42" s="28" t="n"/>
      <c r="F42" s="28" t="n"/>
      <c r="G42" s="28" t="n"/>
      <c r="H42" s="28" t="n"/>
      <c r="I42" s="28" t="n"/>
      <c r="J42" s="45" t="n">
        <v>46614</v>
      </c>
      <c r="K42" s="28" t="inlineStr">
        <is>
          <t>Assomption</t>
        </is>
      </c>
    </row>
    <row r="43">
      <c r="A43" s="28" t="n"/>
      <c r="B43" s="28" t="n"/>
      <c r="C43" s="28" t="n"/>
      <c r="D43" s="28" t="n"/>
      <c r="E43" s="28" t="n"/>
      <c r="F43" s="28" t="n"/>
      <c r="G43" s="28" t="n"/>
      <c r="H43" s="28" t="n"/>
      <c r="I43" s="28" t="n"/>
      <c r="J43" s="45" t="n">
        <v>46692</v>
      </c>
      <c r="K43" s="28" t="inlineStr">
        <is>
          <t>Toussaint</t>
        </is>
      </c>
    </row>
    <row r="44">
      <c r="A44" s="28" t="n"/>
      <c r="B44" s="28" t="n"/>
      <c r="C44" s="28" t="n"/>
      <c r="D44" s="28" t="n"/>
      <c r="E44" s="28" t="n"/>
      <c r="F44" s="28" t="n"/>
      <c r="G44" s="28" t="n"/>
      <c r="H44" s="28" t="n"/>
      <c r="I44" s="28" t="n"/>
      <c r="J44" s="45" t="n">
        <v>46702</v>
      </c>
      <c r="K44" s="28" t="inlineStr">
        <is>
          <t>Armistice</t>
        </is>
      </c>
    </row>
    <row r="45">
      <c r="A45" s="28" t="n"/>
      <c r="B45" s="28" t="n"/>
      <c r="C45" s="28" t="n"/>
      <c r="D45" s="28" t="n"/>
      <c r="E45" s="28" t="n"/>
      <c r="F45" s="28" t="n"/>
      <c r="G45" s="28" t="n"/>
      <c r="H45" s="28" t="n"/>
      <c r="I45" s="28" t="n"/>
      <c r="J45" s="45" t="n">
        <v>46746</v>
      </c>
      <c r="K45" s="28" t="inlineStr">
        <is>
          <t>Noël</t>
        </is>
      </c>
    </row>
    <row r="46">
      <c r="A46" s="28" t="n"/>
      <c r="B46" s="28" t="n"/>
      <c r="C46" s="28" t="n"/>
      <c r="D46" s="28" t="n"/>
      <c r="E46" s="28" t="n"/>
      <c r="F46" s="28" t="n"/>
      <c r="G46" s="28" t="n"/>
      <c r="H46" s="28" t="n"/>
      <c r="I46" s="28" t="n"/>
      <c r="J46" s="45" t="n">
        <v>46753</v>
      </c>
      <c r="K46" s="28" t="inlineStr">
        <is>
          <t>Jour de l’an</t>
        </is>
      </c>
    </row>
    <row r="47">
      <c r="A47" s="28" t="n"/>
      <c r="B47" s="28" t="n"/>
      <c r="C47" s="28" t="n"/>
      <c r="D47" s="28" t="n"/>
      <c r="E47" s="28" t="n"/>
      <c r="F47" s="28" t="n"/>
      <c r="G47" s="28" t="n"/>
      <c r="H47" s="28" t="n"/>
      <c r="I47" s="28" t="n"/>
      <c r="J47" s="45" t="n">
        <v>46860</v>
      </c>
      <c r="K47" s="28" t="inlineStr">
        <is>
          <t>Lundi de Pâques</t>
        </is>
      </c>
    </row>
    <row r="48">
      <c r="A48" s="28" t="n"/>
      <c r="B48" s="28" t="n"/>
      <c r="C48" s="28" t="n"/>
      <c r="D48" s="28" t="n"/>
      <c r="E48" s="28" t="n"/>
      <c r="F48" s="28" t="n"/>
      <c r="G48" s="28" t="n"/>
      <c r="H48" s="28" t="n"/>
      <c r="I48" s="28" t="n"/>
      <c r="J48" s="45" t="n">
        <v>46874</v>
      </c>
      <c r="K48" s="28" t="inlineStr">
        <is>
          <t>Fête du Travail</t>
        </is>
      </c>
    </row>
    <row r="49">
      <c r="A49" s="28" t="n"/>
      <c r="B49" s="28" t="n"/>
      <c r="C49" s="28" t="n"/>
      <c r="D49" s="28" t="n"/>
      <c r="E49" s="28" t="n"/>
      <c r="F49" s="28" t="n"/>
      <c r="G49" s="28" t="n"/>
      <c r="H49" s="28" t="n"/>
      <c r="I49" s="28" t="n"/>
      <c r="J49" s="45" t="n">
        <v>46881</v>
      </c>
      <c r="K49" s="28" t="inlineStr">
        <is>
          <t>Victoire 1945</t>
        </is>
      </c>
    </row>
    <row r="50">
      <c r="A50" s="28" t="n"/>
      <c r="B50" s="28" t="n"/>
      <c r="C50" s="28" t="n"/>
      <c r="D50" s="28" t="n"/>
      <c r="E50" s="28" t="n"/>
      <c r="F50" s="28" t="n"/>
      <c r="G50" s="28" t="n"/>
      <c r="H50" s="28" t="n"/>
      <c r="I50" s="28" t="n"/>
      <c r="J50" s="45" t="n">
        <v>46898</v>
      </c>
      <c r="K50" s="28" t="inlineStr">
        <is>
          <t>Ascension</t>
        </is>
      </c>
    </row>
    <row r="51">
      <c r="A51" s="28" t="n"/>
      <c r="B51" s="28" t="n"/>
      <c r="C51" s="28" t="n"/>
      <c r="D51" s="28" t="n"/>
      <c r="E51" s="28" t="n"/>
      <c r="F51" s="28" t="n"/>
      <c r="G51" s="28" t="n"/>
      <c r="H51" s="28" t="n"/>
      <c r="I51" s="28" t="n"/>
      <c r="J51" s="45" t="n">
        <v>46909</v>
      </c>
      <c r="K51" s="28" t="inlineStr">
        <is>
          <t>Lundi de Pentecôte</t>
        </is>
      </c>
    </row>
    <row r="52">
      <c r="A52" s="28" t="n"/>
      <c r="B52" s="28" t="n"/>
      <c r="C52" s="28" t="n"/>
      <c r="D52" s="28" t="n"/>
      <c r="E52" s="28" t="n"/>
      <c r="F52" s="28" t="n"/>
      <c r="G52" s="28" t="n"/>
      <c r="H52" s="28" t="n"/>
      <c r="I52" s="28" t="n"/>
      <c r="J52" s="45" t="n">
        <v>46948</v>
      </c>
      <c r="K52" s="28" t="inlineStr">
        <is>
          <t>Fête nationale</t>
        </is>
      </c>
    </row>
    <row r="53">
      <c r="A53" s="28" t="n"/>
      <c r="B53" s="28" t="n"/>
      <c r="C53" s="28" t="n"/>
      <c r="D53" s="28" t="n"/>
      <c r="E53" s="28" t="n"/>
      <c r="F53" s="28" t="n"/>
      <c r="G53" s="28" t="n"/>
      <c r="H53" s="28" t="n"/>
      <c r="I53" s="28" t="n"/>
      <c r="J53" s="45" t="n">
        <v>46980</v>
      </c>
      <c r="K53" s="28" t="inlineStr">
        <is>
          <t>Assomption</t>
        </is>
      </c>
    </row>
    <row r="54">
      <c r="A54" s="28" t="n"/>
      <c r="B54" s="28" t="n"/>
      <c r="C54" s="28" t="n"/>
      <c r="D54" s="28" t="n"/>
      <c r="E54" s="28" t="n"/>
      <c r="F54" s="28" t="n"/>
      <c r="G54" s="28" t="n"/>
      <c r="H54" s="28" t="n"/>
      <c r="I54" s="28" t="n"/>
      <c r="J54" s="45" t="n">
        <v>47058</v>
      </c>
      <c r="K54" s="28" t="inlineStr">
        <is>
          <t>Toussaint</t>
        </is>
      </c>
    </row>
    <row r="55">
      <c r="A55" s="28" t="n"/>
      <c r="B55" s="28" t="n"/>
      <c r="C55" s="28" t="n"/>
      <c r="D55" s="28" t="n"/>
      <c r="E55" s="28" t="n"/>
      <c r="F55" s="28" t="n"/>
      <c r="G55" s="28" t="n"/>
      <c r="H55" s="28" t="n"/>
      <c r="I55" s="28" t="n"/>
      <c r="J55" s="45" t="n">
        <v>47068</v>
      </c>
      <c r="K55" s="28" t="inlineStr">
        <is>
          <t>Armistice</t>
        </is>
      </c>
    </row>
    <row r="56">
      <c r="A56" s="28" t="n"/>
      <c r="B56" s="28" t="n"/>
      <c r="C56" s="28" t="n"/>
      <c r="D56" s="28" t="n"/>
      <c r="E56" s="28" t="n"/>
      <c r="F56" s="28" t="n"/>
      <c r="G56" s="28" t="n"/>
      <c r="H56" s="28" t="n"/>
      <c r="I56" s="28" t="n"/>
      <c r="J56" s="45" t="n">
        <v>47112</v>
      </c>
      <c r="K56" s="28" t="inlineStr">
        <is>
          <t>Noël</t>
        </is>
      </c>
    </row>
    <row r="57">
      <c r="A57" s="28" t="n"/>
      <c r="B57" s="28" t="n"/>
      <c r="C57" s="28" t="n"/>
      <c r="D57" s="28" t="n"/>
      <c r="E57" s="28" t="n"/>
      <c r="F57" s="28" t="n"/>
      <c r="G57" s="28" t="n"/>
      <c r="H57" s="28" t="n"/>
      <c r="I57" s="28" t="n"/>
      <c r="J57" s="45" t="n">
        <v>47119</v>
      </c>
      <c r="K57" s="28" t="inlineStr">
        <is>
          <t>Jour de l’an</t>
        </is>
      </c>
    </row>
    <row r="58">
      <c r="A58" s="28" t="n"/>
      <c r="B58" s="28" t="n"/>
      <c r="C58" s="28" t="n"/>
      <c r="D58" s="28" t="n"/>
      <c r="E58" s="28" t="n"/>
      <c r="F58" s="28" t="n"/>
      <c r="G58" s="28" t="n"/>
      <c r="H58" s="28" t="n"/>
      <c r="I58" s="28" t="n"/>
      <c r="J58" s="45" t="n">
        <v>47210</v>
      </c>
      <c r="K58" s="28" t="inlineStr">
        <is>
          <t>Lundi de Pâques</t>
        </is>
      </c>
    </row>
    <row r="59">
      <c r="A59" s="28" t="n"/>
      <c r="B59" s="28" t="n"/>
      <c r="C59" s="28" t="n"/>
      <c r="D59" s="28" t="n"/>
      <c r="E59" s="28" t="n"/>
      <c r="F59" s="28" t="n"/>
      <c r="G59" s="28" t="n"/>
      <c r="H59" s="28" t="n"/>
      <c r="I59" s="28" t="n"/>
      <c r="J59" s="45" t="n">
        <v>47239</v>
      </c>
      <c r="K59" s="28" t="inlineStr">
        <is>
          <t>Fête du Travail</t>
        </is>
      </c>
    </row>
    <row r="60">
      <c r="A60" s="28" t="n"/>
      <c r="B60" s="28" t="n"/>
      <c r="C60" s="28" t="n"/>
      <c r="D60" s="28" t="n"/>
      <c r="E60" s="28" t="n"/>
      <c r="F60" s="28" t="n"/>
      <c r="G60" s="28" t="n"/>
      <c r="H60" s="28" t="n"/>
      <c r="I60" s="28" t="n"/>
      <c r="J60" s="45" t="n">
        <v>47246</v>
      </c>
      <c r="K60" s="28" t="inlineStr">
        <is>
          <t>Victoire 1945</t>
        </is>
      </c>
    </row>
    <row r="61">
      <c r="A61" s="28" t="n"/>
      <c r="B61" s="28" t="n"/>
      <c r="C61" s="28" t="n"/>
      <c r="D61" s="28" t="n"/>
      <c r="E61" s="28" t="n"/>
      <c r="F61" s="28" t="n"/>
      <c r="G61" s="28" t="n"/>
      <c r="H61" s="28" t="n"/>
      <c r="I61" s="28" t="n"/>
      <c r="J61" s="45" t="n">
        <v>47248</v>
      </c>
      <c r="K61" s="28" t="inlineStr">
        <is>
          <t>Ascension</t>
        </is>
      </c>
    </row>
    <row r="62">
      <c r="A62" s="28" t="n"/>
      <c r="B62" s="28" t="n"/>
      <c r="C62" s="28" t="n"/>
      <c r="D62" s="28" t="n"/>
      <c r="E62" s="28" t="n"/>
      <c r="F62" s="28" t="n"/>
      <c r="G62" s="28" t="n"/>
      <c r="H62" s="28" t="n"/>
      <c r="I62" s="28" t="n"/>
      <c r="J62" s="45" t="n">
        <v>47259</v>
      </c>
      <c r="K62" s="28" t="inlineStr">
        <is>
          <t>Lundi de Pentecôte</t>
        </is>
      </c>
    </row>
    <row r="63">
      <c r="A63" s="28" t="n"/>
      <c r="B63" s="28" t="n"/>
      <c r="C63" s="28" t="n"/>
      <c r="D63" s="28" t="n"/>
      <c r="E63" s="28" t="n"/>
      <c r="F63" s="28" t="n"/>
      <c r="G63" s="28" t="n"/>
      <c r="H63" s="28" t="n"/>
      <c r="I63" s="28" t="n"/>
      <c r="J63" s="45" t="n">
        <v>47313</v>
      </c>
      <c r="K63" s="28" t="inlineStr">
        <is>
          <t>Fête nationale</t>
        </is>
      </c>
    </row>
    <row r="64">
      <c r="A64" s="28" t="n"/>
      <c r="B64" s="28" t="n"/>
      <c r="C64" s="28" t="n"/>
      <c r="D64" s="28" t="n"/>
      <c r="E64" s="28" t="n"/>
      <c r="F64" s="28" t="n"/>
      <c r="G64" s="28" t="n"/>
      <c r="H64" s="28" t="n"/>
      <c r="I64" s="28" t="n"/>
      <c r="J64" s="45" t="n">
        <v>47345</v>
      </c>
      <c r="K64" s="28" t="inlineStr">
        <is>
          <t>Assomption</t>
        </is>
      </c>
    </row>
    <row r="65">
      <c r="A65" s="28" t="n"/>
      <c r="B65" s="28" t="n"/>
      <c r="C65" s="28" t="n"/>
      <c r="D65" s="28" t="n"/>
      <c r="E65" s="28" t="n"/>
      <c r="F65" s="28" t="n"/>
      <c r="G65" s="28" t="n"/>
      <c r="H65" s="28" t="n"/>
      <c r="I65" s="28" t="n"/>
      <c r="J65" s="45" t="n">
        <v>47423</v>
      </c>
      <c r="K65" s="28" t="inlineStr">
        <is>
          <t>Toussaint</t>
        </is>
      </c>
    </row>
    <row r="66">
      <c r="A66" s="28" t="n"/>
      <c r="B66" s="28" t="n"/>
      <c r="C66" s="28" t="n"/>
      <c r="D66" s="28" t="n"/>
      <c r="E66" s="28" t="n"/>
      <c r="F66" s="28" t="n"/>
      <c r="G66" s="28" t="n"/>
      <c r="H66" s="28" t="n"/>
      <c r="I66" s="28" t="n"/>
      <c r="J66" s="45" t="n">
        <v>47433</v>
      </c>
      <c r="K66" s="28" t="inlineStr">
        <is>
          <t>Armistice</t>
        </is>
      </c>
    </row>
    <row r="67">
      <c r="A67" s="28" t="n"/>
      <c r="B67" s="28" t="n"/>
      <c r="C67" s="28" t="n"/>
      <c r="D67" s="28" t="n"/>
      <c r="E67" s="28" t="n"/>
      <c r="F67" s="28" t="n"/>
      <c r="G67" s="28" t="n"/>
      <c r="H67" s="28" t="n"/>
      <c r="I67" s="28" t="n"/>
      <c r="J67" s="45" t="n">
        <v>47477</v>
      </c>
      <c r="K67" s="28" t="inlineStr">
        <is>
          <t>Noël</t>
        </is>
      </c>
    </row>
    <row r="68">
      <c r="A68" s="28" t="n"/>
      <c r="B68" s="28" t="n"/>
      <c r="C68" s="28" t="n"/>
      <c r="D68" s="28" t="n"/>
      <c r="E68" s="28" t="n"/>
      <c r="F68" s="28" t="n"/>
      <c r="G68" s="28" t="n"/>
      <c r="H68" s="28" t="n"/>
      <c r="I68" s="28" t="n"/>
      <c r="J68" s="45" t="n">
        <v>47484</v>
      </c>
      <c r="K68" s="28" t="inlineStr">
        <is>
          <t>Jour de l’an</t>
        </is>
      </c>
    </row>
    <row r="69">
      <c r="A69" s="28" t="n"/>
      <c r="B69" s="28" t="n"/>
      <c r="C69" s="28" t="n"/>
      <c r="D69" s="28" t="n"/>
      <c r="E69" s="28" t="n"/>
      <c r="F69" s="28" t="n"/>
      <c r="G69" s="28" t="n"/>
      <c r="H69" s="28" t="n"/>
      <c r="I69" s="28" t="n"/>
      <c r="J69" s="45" t="n">
        <v>47595</v>
      </c>
      <c r="K69" s="28" t="inlineStr">
        <is>
          <t>Lundi de Pâques</t>
        </is>
      </c>
    </row>
    <row r="70">
      <c r="A70" s="28" t="n"/>
      <c r="B70" s="28" t="n"/>
      <c r="C70" s="28" t="n"/>
      <c r="D70" s="28" t="n"/>
      <c r="E70" s="28" t="n"/>
      <c r="F70" s="28" t="n"/>
      <c r="G70" s="28" t="n"/>
      <c r="H70" s="28" t="n"/>
      <c r="I70" s="28" t="n"/>
      <c r="J70" s="45" t="n">
        <v>47604</v>
      </c>
      <c r="K70" s="28" t="inlineStr">
        <is>
          <t>Fête du Travail</t>
        </is>
      </c>
    </row>
    <row r="71">
      <c r="A71" s="28" t="n"/>
      <c r="B71" s="28" t="n"/>
      <c r="C71" s="28" t="n"/>
      <c r="D71" s="28" t="n"/>
      <c r="E71" s="28" t="n"/>
      <c r="F71" s="28" t="n"/>
      <c r="G71" s="28" t="n"/>
      <c r="H71" s="28" t="n"/>
      <c r="I71" s="28" t="n"/>
      <c r="J71" s="45" t="n">
        <v>47611</v>
      </c>
      <c r="K71" s="28" t="inlineStr">
        <is>
          <t>Victoire 1945</t>
        </is>
      </c>
    </row>
    <row r="72">
      <c r="A72" s="28" t="n"/>
      <c r="B72" s="28" t="n"/>
      <c r="C72" s="28" t="n"/>
      <c r="D72" s="28" t="n"/>
      <c r="E72" s="28" t="n"/>
      <c r="F72" s="28" t="n"/>
      <c r="G72" s="28" t="n"/>
      <c r="H72" s="28" t="n"/>
      <c r="I72" s="28" t="n"/>
      <c r="J72" s="45" t="n">
        <v>47633</v>
      </c>
      <c r="K72" s="28" t="inlineStr">
        <is>
          <t>Ascension</t>
        </is>
      </c>
    </row>
    <row r="73">
      <c r="A73" s="28" t="n"/>
      <c r="B73" s="28" t="n"/>
      <c r="C73" s="28" t="n"/>
      <c r="D73" s="28" t="n"/>
      <c r="E73" s="28" t="n"/>
      <c r="F73" s="28" t="n"/>
      <c r="G73" s="28" t="n"/>
      <c r="H73" s="28" t="n"/>
      <c r="I73" s="28" t="n"/>
      <c r="J73" s="45" t="n">
        <v>47644</v>
      </c>
      <c r="K73" s="28" t="inlineStr">
        <is>
          <t>Lundi de Pentecôte</t>
        </is>
      </c>
    </row>
    <row r="74">
      <c r="A74" s="28" t="n"/>
      <c r="B74" s="28" t="n"/>
      <c r="C74" s="28" t="n"/>
      <c r="D74" s="28" t="n"/>
      <c r="E74" s="28" t="n"/>
      <c r="F74" s="28" t="n"/>
      <c r="G74" s="28" t="n"/>
      <c r="H74" s="28" t="n"/>
      <c r="I74" s="28" t="n"/>
      <c r="J74" s="45" t="n">
        <v>47678</v>
      </c>
      <c r="K74" s="28" t="inlineStr">
        <is>
          <t>Fête nationale</t>
        </is>
      </c>
    </row>
    <row r="75">
      <c r="A75" s="28" t="n"/>
      <c r="B75" s="28" t="n"/>
      <c r="C75" s="28" t="n"/>
      <c r="D75" s="28" t="n"/>
      <c r="E75" s="28" t="n"/>
      <c r="F75" s="28" t="n"/>
      <c r="G75" s="28" t="n"/>
      <c r="H75" s="28" t="n"/>
      <c r="I75" s="28" t="n"/>
      <c r="J75" s="45" t="n">
        <v>47710</v>
      </c>
      <c r="K75" s="28" t="inlineStr">
        <is>
          <t>Assomption</t>
        </is>
      </c>
    </row>
    <row r="76">
      <c r="A76" s="28" t="n"/>
      <c r="B76" s="28" t="n"/>
      <c r="C76" s="28" t="n"/>
      <c r="D76" s="28" t="n"/>
      <c r="E76" s="28" t="n"/>
      <c r="F76" s="28" t="n"/>
      <c r="G76" s="28" t="n"/>
      <c r="H76" s="28" t="n"/>
      <c r="I76" s="28" t="n"/>
      <c r="J76" s="45" t="n">
        <v>47788</v>
      </c>
      <c r="K76" s="28" t="inlineStr">
        <is>
          <t>Toussaint</t>
        </is>
      </c>
    </row>
    <row r="77">
      <c r="A77" s="28" t="n"/>
      <c r="B77" s="28" t="n"/>
      <c r="C77" s="28" t="n"/>
      <c r="D77" s="28" t="n"/>
      <c r="E77" s="28" t="n"/>
      <c r="F77" s="28" t="n"/>
      <c r="G77" s="28" t="n"/>
      <c r="H77" s="28" t="n"/>
      <c r="I77" s="28" t="n"/>
      <c r="J77" s="45" t="n">
        <v>47798</v>
      </c>
      <c r="K77" s="28" t="inlineStr">
        <is>
          <t>Armistice</t>
        </is>
      </c>
    </row>
    <row r="78">
      <c r="A78" s="28" t="n"/>
      <c r="B78" s="28" t="n"/>
      <c r="C78" s="28" t="n"/>
      <c r="D78" s="28" t="n"/>
      <c r="E78" s="28" t="n"/>
      <c r="F78" s="28" t="n"/>
      <c r="G78" s="28" t="n"/>
      <c r="H78" s="28" t="n"/>
      <c r="I78" s="28" t="n"/>
      <c r="J78" s="45" t="n">
        <v>47842</v>
      </c>
      <c r="K78" s="28" t="inlineStr">
        <is>
          <t>Noël</t>
        </is>
      </c>
    </row>
    <row r="79">
      <c r="A79" s="28" t="n"/>
      <c r="B79" s="28" t="n"/>
      <c r="C79" s="28" t="n"/>
      <c r="D79" s="28" t="n"/>
      <c r="E79" s="28" t="n"/>
      <c r="F79" s="28" t="n"/>
      <c r="G79" s="28" t="n"/>
      <c r="H79" s="28" t="n"/>
      <c r="I79" s="28" t="n"/>
      <c r="J79" s="45" t="n">
        <v>47849</v>
      </c>
      <c r="K79" s="28" t="inlineStr">
        <is>
          <t>Jour de l’an</t>
        </is>
      </c>
    </row>
    <row r="80">
      <c r="A80" s="28" t="n"/>
      <c r="B80" s="28" t="n"/>
      <c r="C80" s="28" t="n"/>
      <c r="D80" s="28" t="n"/>
      <c r="E80" s="28" t="n"/>
      <c r="F80" s="28" t="n"/>
      <c r="G80" s="28" t="n"/>
      <c r="H80" s="28" t="n"/>
      <c r="I80" s="28" t="n"/>
      <c r="J80" s="45" t="n">
        <v>47952</v>
      </c>
      <c r="K80" s="28" t="inlineStr">
        <is>
          <t>Lundi de Pâques</t>
        </is>
      </c>
    </row>
    <row r="81">
      <c r="A81" s="28" t="n"/>
      <c r="B81" s="28" t="n"/>
      <c r="C81" s="28" t="n"/>
      <c r="D81" s="28" t="n"/>
      <c r="E81" s="28" t="n"/>
      <c r="F81" s="28" t="n"/>
      <c r="G81" s="28" t="n"/>
      <c r="H81" s="28" t="n"/>
      <c r="I81" s="28" t="n"/>
      <c r="J81" s="45" t="n">
        <v>47969</v>
      </c>
      <c r="K81" s="28" t="inlineStr">
        <is>
          <t>Fête du Travail</t>
        </is>
      </c>
    </row>
    <row r="82">
      <c r="A82" s="28" t="n"/>
      <c r="B82" s="28" t="n"/>
      <c r="C82" s="28" t="n"/>
      <c r="D82" s="28" t="n"/>
      <c r="E82" s="28" t="n"/>
      <c r="F82" s="28" t="n"/>
      <c r="G82" s="28" t="n"/>
      <c r="H82" s="28" t="n"/>
      <c r="I82" s="28" t="n"/>
      <c r="J82" s="45" t="n">
        <v>47976</v>
      </c>
      <c r="K82" s="28" t="inlineStr">
        <is>
          <t>Victoire 1945</t>
        </is>
      </c>
    </row>
    <row r="83">
      <c r="A83" s="28" t="n"/>
      <c r="B83" s="28" t="n"/>
      <c r="C83" s="28" t="n"/>
      <c r="D83" s="28" t="n"/>
      <c r="E83" s="28" t="n"/>
      <c r="F83" s="28" t="n"/>
      <c r="G83" s="28" t="n"/>
      <c r="H83" s="28" t="n"/>
      <c r="I83" s="28" t="n"/>
      <c r="J83" s="45" t="n">
        <v>47990</v>
      </c>
      <c r="K83" s="28" t="inlineStr">
        <is>
          <t>Ascension</t>
        </is>
      </c>
    </row>
    <row r="84">
      <c r="A84" s="28" t="n"/>
      <c r="B84" s="28" t="n"/>
      <c r="C84" s="28" t="n"/>
      <c r="D84" s="28" t="n"/>
      <c r="E84" s="28" t="n"/>
      <c r="F84" s="28" t="n"/>
      <c r="G84" s="28" t="n"/>
      <c r="H84" s="28" t="n"/>
      <c r="I84" s="28" t="n"/>
      <c r="J84" s="45" t="n">
        <v>48001</v>
      </c>
      <c r="K84" s="28" t="inlineStr">
        <is>
          <t>Lundi de Pentecôte</t>
        </is>
      </c>
    </row>
    <row r="85">
      <c r="A85" s="28" t="n"/>
      <c r="B85" s="28" t="n"/>
      <c r="C85" s="28" t="n"/>
      <c r="D85" s="28" t="n"/>
      <c r="E85" s="28" t="n"/>
      <c r="F85" s="28" t="n"/>
      <c r="G85" s="28" t="n"/>
      <c r="H85" s="28" t="n"/>
      <c r="I85" s="28" t="n"/>
      <c r="J85" s="45" t="n">
        <v>48043</v>
      </c>
      <c r="K85" s="28" t="inlineStr">
        <is>
          <t>Fête nationale</t>
        </is>
      </c>
    </row>
    <row r="86">
      <c r="A86" s="28" t="n"/>
      <c r="B86" s="28" t="n"/>
      <c r="C86" s="28" t="n"/>
      <c r="D86" s="28" t="n"/>
      <c r="E86" s="28" t="n"/>
      <c r="F86" s="28" t="n"/>
      <c r="G86" s="28" t="n"/>
      <c r="H86" s="28" t="n"/>
      <c r="I86" s="28" t="n"/>
      <c r="J86" s="45" t="n">
        <v>48075</v>
      </c>
      <c r="K86" s="28" t="inlineStr">
        <is>
          <t>Assomption</t>
        </is>
      </c>
    </row>
    <row r="87">
      <c r="A87" s="28" t="n"/>
      <c r="B87" s="28" t="n"/>
      <c r="C87" s="28" t="n"/>
      <c r="D87" s="28" t="n"/>
      <c r="E87" s="28" t="n"/>
      <c r="F87" s="28" t="n"/>
      <c r="G87" s="28" t="n"/>
      <c r="H87" s="28" t="n"/>
      <c r="I87" s="28" t="n"/>
      <c r="J87" s="45" t="n">
        <v>48153</v>
      </c>
      <c r="K87" s="28" t="inlineStr">
        <is>
          <t>Toussaint</t>
        </is>
      </c>
    </row>
    <row r="88">
      <c r="A88" s="28" t="n"/>
      <c r="B88" s="28" t="n"/>
      <c r="C88" s="28" t="n"/>
      <c r="D88" s="28" t="n"/>
      <c r="E88" s="28" t="n"/>
      <c r="F88" s="28" t="n"/>
      <c r="G88" s="28" t="n"/>
      <c r="H88" s="28" t="n"/>
      <c r="I88" s="28" t="n"/>
      <c r="J88" s="45" t="n">
        <v>48163</v>
      </c>
      <c r="K88" s="28" t="inlineStr">
        <is>
          <t>Armistice</t>
        </is>
      </c>
    </row>
    <row r="89">
      <c r="A89" s="28" t="n"/>
      <c r="B89" s="28" t="n"/>
      <c r="C89" s="28" t="n"/>
      <c r="D89" s="28" t="n"/>
      <c r="E89" s="28" t="n"/>
      <c r="F89" s="28" t="n"/>
      <c r="G89" s="28" t="n"/>
      <c r="H89" s="28" t="n"/>
      <c r="I89" s="28" t="n"/>
      <c r="J89" s="45" t="n">
        <v>48207</v>
      </c>
      <c r="K89" s="28" t="inlineStr">
        <is>
          <t>Noël</t>
        </is>
      </c>
    </row>
    <row r="90">
      <c r="A90" s="28" t="n"/>
      <c r="B90" s="28" t="n"/>
      <c r="C90" s="28" t="n"/>
      <c r="D90" s="28" t="n"/>
      <c r="E90" s="28" t="n"/>
      <c r="F90" s="28" t="n"/>
      <c r="G90" s="28" t="n"/>
      <c r="H90" s="28" t="n"/>
      <c r="I90" s="28" t="n"/>
      <c r="J90" s="45" t="n">
        <v>48214</v>
      </c>
      <c r="K90" s="28" t="inlineStr">
        <is>
          <t>Jour de l’an</t>
        </is>
      </c>
    </row>
    <row r="91">
      <c r="A91" s="28" t="n"/>
      <c r="B91" s="28" t="n"/>
      <c r="C91" s="28" t="n"/>
      <c r="D91" s="28" t="n"/>
      <c r="E91" s="28" t="n"/>
      <c r="F91" s="28" t="n"/>
      <c r="G91" s="28" t="n"/>
      <c r="H91" s="28" t="n"/>
      <c r="I91" s="28" t="n"/>
      <c r="J91" s="45" t="n">
        <v>48302</v>
      </c>
      <c r="K91" s="28" t="inlineStr">
        <is>
          <t>Lundi de Pâques</t>
        </is>
      </c>
    </row>
    <row r="92">
      <c r="A92" s="28" t="n"/>
      <c r="B92" s="28" t="n"/>
      <c r="C92" s="28" t="n"/>
      <c r="D92" s="28" t="n"/>
      <c r="E92" s="28" t="n"/>
      <c r="F92" s="28" t="n"/>
      <c r="G92" s="28" t="n"/>
      <c r="H92" s="28" t="n"/>
      <c r="I92" s="28" t="n"/>
      <c r="J92" s="45" t="n">
        <v>48335</v>
      </c>
      <c r="K92" s="28" t="inlineStr">
        <is>
          <t>Fête du Travail</t>
        </is>
      </c>
    </row>
    <row r="93">
      <c r="A93" s="28" t="n"/>
      <c r="B93" s="28" t="n"/>
      <c r="C93" s="28" t="n"/>
      <c r="D93" s="28" t="n"/>
      <c r="E93" s="28" t="n"/>
      <c r="F93" s="28" t="n"/>
      <c r="G93" s="28" t="n"/>
      <c r="H93" s="28" t="n"/>
      <c r="I93" s="28" t="n"/>
      <c r="J93" s="45" t="n">
        <v>48340</v>
      </c>
      <c r="K93" s="28" t="inlineStr">
        <is>
          <t>Ascension</t>
        </is>
      </c>
    </row>
    <row r="94">
      <c r="A94" s="28" t="n"/>
      <c r="B94" s="28" t="n"/>
      <c r="C94" s="28" t="n"/>
      <c r="D94" s="28" t="n"/>
      <c r="E94" s="28" t="n"/>
      <c r="F94" s="28" t="n"/>
      <c r="G94" s="28" t="n"/>
      <c r="H94" s="28" t="n"/>
      <c r="I94" s="28" t="n"/>
      <c r="J94" s="45" t="n">
        <v>48342</v>
      </c>
      <c r="K94" s="28" t="inlineStr">
        <is>
          <t>Victoire 1945</t>
        </is>
      </c>
    </row>
    <row r="95">
      <c r="A95" s="28" t="n"/>
      <c r="B95" s="28" t="n"/>
      <c r="C95" s="28" t="n"/>
      <c r="D95" s="28" t="n"/>
      <c r="E95" s="28" t="n"/>
      <c r="F95" s="28" t="n"/>
      <c r="G95" s="28" t="n"/>
      <c r="H95" s="28" t="n"/>
      <c r="I95" s="28" t="n"/>
      <c r="J95" s="45" t="n">
        <v>48351</v>
      </c>
      <c r="K95" s="28" t="inlineStr">
        <is>
          <t>Lundi de Pentecôte</t>
        </is>
      </c>
    </row>
    <row r="96">
      <c r="A96" s="28" t="n"/>
      <c r="B96" s="28" t="n"/>
      <c r="C96" s="28" t="n"/>
      <c r="D96" s="28" t="n"/>
      <c r="E96" s="28" t="n"/>
      <c r="F96" s="28" t="n"/>
      <c r="G96" s="28" t="n"/>
      <c r="H96" s="28" t="n"/>
      <c r="I96" s="28" t="n"/>
      <c r="J96" s="45" t="n">
        <v>48409</v>
      </c>
      <c r="K96" s="28" t="inlineStr">
        <is>
          <t>Fête nationale</t>
        </is>
      </c>
    </row>
    <row r="97">
      <c r="A97" s="28" t="n"/>
      <c r="B97" s="28" t="n"/>
      <c r="C97" s="28" t="n"/>
      <c r="D97" s="28" t="n"/>
      <c r="E97" s="28" t="n"/>
      <c r="F97" s="28" t="n"/>
      <c r="G97" s="28" t="n"/>
      <c r="H97" s="28" t="n"/>
      <c r="I97" s="28" t="n"/>
      <c r="J97" s="45" t="n">
        <v>48441</v>
      </c>
      <c r="K97" s="28" t="inlineStr">
        <is>
          <t>Assomption</t>
        </is>
      </c>
    </row>
    <row r="98">
      <c r="A98" s="28" t="n"/>
      <c r="B98" s="28" t="n"/>
      <c r="C98" s="28" t="n"/>
      <c r="D98" s="28" t="n"/>
      <c r="E98" s="28" t="n"/>
      <c r="F98" s="28" t="n"/>
      <c r="G98" s="28" t="n"/>
      <c r="H98" s="28" t="n"/>
      <c r="I98" s="28" t="n"/>
      <c r="J98" s="45" t="n">
        <v>48519</v>
      </c>
      <c r="K98" s="28" t="inlineStr">
        <is>
          <t>Toussaint</t>
        </is>
      </c>
    </row>
    <row r="99">
      <c r="A99" s="28" t="n"/>
      <c r="B99" s="28" t="n"/>
      <c r="C99" s="28" t="n"/>
      <c r="D99" s="28" t="n"/>
      <c r="E99" s="28" t="n"/>
      <c r="F99" s="28" t="n"/>
      <c r="G99" s="28" t="n"/>
      <c r="H99" s="28" t="n"/>
      <c r="I99" s="28" t="n"/>
      <c r="J99" s="45" t="n">
        <v>48529</v>
      </c>
      <c r="K99" s="28" t="inlineStr">
        <is>
          <t>Armistice</t>
        </is>
      </c>
    </row>
    <row r="100">
      <c r="A100" s="28" t="n"/>
      <c r="B100" s="28" t="n"/>
      <c r="C100" s="28" t="n"/>
      <c r="D100" s="28" t="n"/>
      <c r="E100" s="28" t="n"/>
      <c r="F100" s="28" t="n"/>
      <c r="G100" s="28" t="n"/>
      <c r="H100" s="28" t="n"/>
      <c r="I100" s="28" t="n"/>
      <c r="J100" s="45" t="n">
        <v>48573</v>
      </c>
      <c r="K100" s="28" t="inlineStr">
        <is>
          <t>Noël</t>
        </is>
      </c>
    </row>
    <row r="101">
      <c r="A101" s="28" t="n"/>
      <c r="B101" s="28" t="n"/>
      <c r="C101" s="28" t="n"/>
      <c r="D101" s="28" t="n"/>
      <c r="E101" s="28" t="n"/>
      <c r="F101" s="28" t="n"/>
      <c r="G101" s="28" t="n"/>
      <c r="H101" s="28" t="n"/>
      <c r="I101" s="28" t="n"/>
      <c r="J101" s="45" t="n">
        <v>48580</v>
      </c>
      <c r="K101" s="28" t="inlineStr">
        <is>
          <t>Jour de l’an</t>
        </is>
      </c>
    </row>
    <row r="102">
      <c r="A102" s="28" t="n"/>
      <c r="B102" s="28" t="n"/>
      <c r="C102" s="28" t="n"/>
      <c r="D102" s="28" t="n"/>
      <c r="E102" s="28" t="n"/>
      <c r="F102" s="28" t="n"/>
      <c r="G102" s="28" t="n"/>
      <c r="H102" s="28" t="n"/>
      <c r="I102" s="28" t="n"/>
      <c r="J102" s="45" t="n">
        <v>48687</v>
      </c>
      <c r="K102" s="28" t="inlineStr">
        <is>
          <t>Lundi de Pâques</t>
        </is>
      </c>
    </row>
    <row r="103">
      <c r="A103" s="28" t="n"/>
      <c r="B103" s="28" t="n"/>
      <c r="C103" s="28" t="n"/>
      <c r="D103" s="28" t="n"/>
      <c r="E103" s="28" t="n"/>
      <c r="F103" s="28" t="n"/>
      <c r="G103" s="28" t="n"/>
      <c r="H103" s="28" t="n"/>
      <c r="I103" s="28" t="n"/>
      <c r="J103" s="45" t="n">
        <v>48700</v>
      </c>
      <c r="K103" s="28" t="inlineStr">
        <is>
          <t>Fête du Travail</t>
        </is>
      </c>
    </row>
    <row r="104">
      <c r="A104" s="28" t="n"/>
      <c r="B104" s="28" t="n"/>
      <c r="C104" s="28" t="n"/>
      <c r="D104" s="28" t="n"/>
      <c r="E104" s="28" t="n"/>
      <c r="F104" s="28" t="n"/>
      <c r="G104" s="28" t="n"/>
      <c r="H104" s="28" t="n"/>
      <c r="I104" s="28" t="n"/>
      <c r="J104" s="45" t="n">
        <v>48707</v>
      </c>
      <c r="K104" s="28" t="inlineStr">
        <is>
          <t>Victoire 1945</t>
        </is>
      </c>
    </row>
    <row r="105">
      <c r="A105" s="28" t="n"/>
      <c r="B105" s="28" t="n"/>
      <c r="C105" s="28" t="n"/>
      <c r="D105" s="28" t="n"/>
      <c r="E105" s="28" t="n"/>
      <c r="F105" s="28" t="n"/>
      <c r="G105" s="28" t="n"/>
      <c r="H105" s="28" t="n"/>
      <c r="I105" s="28" t="n"/>
      <c r="J105" s="45" t="n">
        <v>48725</v>
      </c>
      <c r="K105" s="28" t="inlineStr">
        <is>
          <t>Ascension</t>
        </is>
      </c>
    </row>
    <row r="106">
      <c r="A106" s="28" t="n"/>
      <c r="B106" s="28" t="n"/>
      <c r="C106" s="28" t="n"/>
      <c r="D106" s="28" t="n"/>
      <c r="E106" s="28" t="n"/>
      <c r="F106" s="28" t="n"/>
      <c r="G106" s="28" t="n"/>
      <c r="H106" s="28" t="n"/>
      <c r="I106" s="28" t="n"/>
      <c r="J106" s="45" t="n">
        <v>48736</v>
      </c>
      <c r="K106" s="28" t="inlineStr">
        <is>
          <t>Lundi de Pentecôte</t>
        </is>
      </c>
    </row>
    <row r="107">
      <c r="A107" s="28" t="n"/>
      <c r="B107" s="28" t="n"/>
      <c r="C107" s="28" t="n"/>
      <c r="D107" s="28" t="n"/>
      <c r="E107" s="28" t="n"/>
      <c r="F107" s="28" t="n"/>
      <c r="G107" s="28" t="n"/>
      <c r="H107" s="28" t="n"/>
      <c r="I107" s="28" t="n"/>
      <c r="J107" s="45" t="n">
        <v>48774</v>
      </c>
      <c r="K107" s="28" t="inlineStr">
        <is>
          <t>Fête nationale</t>
        </is>
      </c>
    </row>
    <row r="108">
      <c r="A108" s="28" t="n"/>
      <c r="B108" s="28" t="n"/>
      <c r="C108" s="28" t="n"/>
      <c r="D108" s="28" t="n"/>
      <c r="E108" s="28" t="n"/>
      <c r="F108" s="28" t="n"/>
      <c r="G108" s="28" t="n"/>
      <c r="H108" s="28" t="n"/>
      <c r="I108" s="28" t="n"/>
      <c r="J108" s="45" t="n">
        <v>48806</v>
      </c>
      <c r="K108" s="28" t="inlineStr">
        <is>
          <t>Assomption</t>
        </is>
      </c>
    </row>
    <row r="109">
      <c r="A109" s="28" t="n"/>
      <c r="B109" s="28" t="n"/>
      <c r="C109" s="28" t="n"/>
      <c r="D109" s="28" t="n"/>
      <c r="E109" s="28" t="n"/>
      <c r="F109" s="28" t="n"/>
      <c r="G109" s="28" t="n"/>
      <c r="H109" s="28" t="n"/>
      <c r="I109" s="28" t="n"/>
      <c r="J109" s="45" t="n">
        <v>48884</v>
      </c>
      <c r="K109" s="28" t="inlineStr">
        <is>
          <t>Toussaint</t>
        </is>
      </c>
    </row>
    <row r="110">
      <c r="A110" s="28" t="n"/>
      <c r="B110" s="28" t="n"/>
      <c r="C110" s="28" t="n"/>
      <c r="D110" s="28" t="n"/>
      <c r="E110" s="28" t="n"/>
      <c r="F110" s="28" t="n"/>
      <c r="G110" s="28" t="n"/>
      <c r="H110" s="28" t="n"/>
      <c r="I110" s="28" t="n"/>
      <c r="J110" s="45" t="n">
        <v>48894</v>
      </c>
      <c r="K110" s="28" t="inlineStr">
        <is>
          <t>Armistice</t>
        </is>
      </c>
    </row>
    <row r="111">
      <c r="A111" s="28" t="n"/>
      <c r="B111" s="28" t="n"/>
      <c r="C111" s="28" t="n"/>
      <c r="D111" s="28" t="n"/>
      <c r="E111" s="28" t="n"/>
      <c r="F111" s="28" t="n"/>
      <c r="G111" s="28" t="n"/>
      <c r="H111" s="28" t="n"/>
      <c r="I111" s="28" t="n"/>
      <c r="J111" s="45" t="n">
        <v>48938</v>
      </c>
      <c r="K111" s="28" t="inlineStr">
        <is>
          <t>Noël</t>
        </is>
      </c>
    </row>
    <row r="112">
      <c r="A112" s="28" t="n"/>
      <c r="B112" s="28" t="n"/>
      <c r="C112" s="28" t="n"/>
      <c r="D112" s="28" t="n"/>
      <c r="E112" s="28" t="n"/>
      <c r="F112" s="28" t="n"/>
      <c r="G112" s="28" t="n"/>
      <c r="H112" s="28" t="n"/>
      <c r="I112" s="28" t="n"/>
      <c r="J112" s="45" t="n">
        <v>48945</v>
      </c>
      <c r="K112" s="28" t="inlineStr">
        <is>
          <t>Jour de l’an</t>
        </is>
      </c>
    </row>
    <row r="113">
      <c r="A113" s="28" t="n"/>
      <c r="B113" s="28" t="n"/>
      <c r="C113" s="28" t="n"/>
      <c r="D113" s="28" t="n"/>
      <c r="E113" s="28" t="n"/>
      <c r="F113" s="28" t="n"/>
      <c r="G113" s="28" t="n"/>
      <c r="H113" s="28" t="n"/>
      <c r="I113" s="28" t="n"/>
      <c r="J113" s="45" t="n">
        <v>49044</v>
      </c>
      <c r="K113" s="28" t="inlineStr">
        <is>
          <t>Lundi de Pâques</t>
        </is>
      </c>
    </row>
    <row r="114">
      <c r="A114" s="28" t="n"/>
      <c r="B114" s="28" t="n"/>
      <c r="C114" s="28" t="n"/>
      <c r="D114" s="28" t="n"/>
      <c r="E114" s="28" t="n"/>
      <c r="F114" s="28" t="n"/>
      <c r="G114" s="28" t="n"/>
      <c r="H114" s="28" t="n"/>
      <c r="I114" s="28" t="n"/>
      <c r="J114" s="45" t="n">
        <v>49065</v>
      </c>
      <c r="K114" s="28" t="inlineStr">
        <is>
          <t>Fête du Travail</t>
        </is>
      </c>
    </row>
    <row r="115">
      <c r="A115" s="28" t="n"/>
      <c r="B115" s="28" t="n"/>
      <c r="C115" s="28" t="n"/>
      <c r="D115" s="28" t="n"/>
      <c r="E115" s="28" t="n"/>
      <c r="F115" s="28" t="n"/>
      <c r="G115" s="28" t="n"/>
      <c r="H115" s="28" t="n"/>
      <c r="I115" s="28" t="n"/>
      <c r="J115" s="45" t="n">
        <v>49072</v>
      </c>
      <c r="K115" s="28" t="inlineStr">
        <is>
          <t>Victoire 1945</t>
        </is>
      </c>
    </row>
    <row r="116">
      <c r="A116" s="28" t="n"/>
      <c r="B116" s="28" t="n"/>
      <c r="C116" s="28" t="n"/>
      <c r="D116" s="28" t="n"/>
      <c r="E116" s="28" t="n"/>
      <c r="F116" s="28" t="n"/>
      <c r="G116" s="28" t="n"/>
      <c r="H116" s="28" t="n"/>
      <c r="I116" s="28" t="n"/>
      <c r="J116" s="45" t="n">
        <v>49082</v>
      </c>
      <c r="K116" s="28" t="inlineStr">
        <is>
          <t>Ascension</t>
        </is>
      </c>
    </row>
    <row r="117">
      <c r="A117" s="28" t="n"/>
      <c r="B117" s="28" t="n"/>
      <c r="C117" s="28" t="n"/>
      <c r="D117" s="28" t="n"/>
      <c r="E117" s="28" t="n"/>
      <c r="F117" s="28" t="n"/>
      <c r="G117" s="28" t="n"/>
      <c r="H117" s="28" t="n"/>
      <c r="I117" s="28" t="n"/>
      <c r="J117" s="45" t="n">
        <v>49093</v>
      </c>
      <c r="K117" s="28" t="inlineStr">
        <is>
          <t>Lundi de Pentecôte</t>
        </is>
      </c>
    </row>
    <row r="118">
      <c r="A118" s="28" t="n"/>
      <c r="B118" s="28" t="n"/>
      <c r="C118" s="28" t="n"/>
      <c r="D118" s="28" t="n"/>
      <c r="E118" s="28" t="n"/>
      <c r="F118" s="28" t="n"/>
      <c r="G118" s="28" t="n"/>
      <c r="H118" s="28" t="n"/>
      <c r="I118" s="28" t="n"/>
      <c r="J118" s="45" t="n">
        <v>49139</v>
      </c>
      <c r="K118" s="28" t="inlineStr">
        <is>
          <t>Fête nationale</t>
        </is>
      </c>
    </row>
    <row r="119">
      <c r="A119" s="28" t="n"/>
      <c r="B119" s="28" t="n"/>
      <c r="C119" s="28" t="n"/>
      <c r="D119" s="28" t="n"/>
      <c r="E119" s="28" t="n"/>
      <c r="F119" s="28" t="n"/>
      <c r="G119" s="28" t="n"/>
      <c r="H119" s="28" t="n"/>
      <c r="I119" s="28" t="n"/>
      <c r="J119" s="45" t="n">
        <v>49171</v>
      </c>
      <c r="K119" s="28" t="inlineStr">
        <is>
          <t>Assomption</t>
        </is>
      </c>
    </row>
    <row r="120">
      <c r="A120" s="28" t="n"/>
      <c r="B120" s="28" t="n"/>
      <c r="C120" s="28" t="n"/>
      <c r="D120" s="28" t="n"/>
      <c r="E120" s="28" t="n"/>
      <c r="F120" s="28" t="n"/>
      <c r="G120" s="28" t="n"/>
      <c r="H120" s="28" t="n"/>
      <c r="I120" s="28" t="n"/>
      <c r="J120" s="45" t="n">
        <v>49249</v>
      </c>
      <c r="K120" s="28" t="inlineStr">
        <is>
          <t>Toussaint</t>
        </is>
      </c>
    </row>
    <row r="121">
      <c r="A121" s="28" t="n"/>
      <c r="B121" s="28" t="n"/>
      <c r="C121" s="28" t="n"/>
      <c r="D121" s="28" t="n"/>
      <c r="E121" s="28" t="n"/>
      <c r="F121" s="28" t="n"/>
      <c r="G121" s="28" t="n"/>
      <c r="H121" s="28" t="n"/>
      <c r="I121" s="28" t="n"/>
      <c r="J121" s="45" t="n">
        <v>49259</v>
      </c>
      <c r="K121" s="28" t="inlineStr">
        <is>
          <t>Armistice</t>
        </is>
      </c>
    </row>
    <row r="122">
      <c r="A122" s="28" t="n"/>
      <c r="B122" s="28" t="n"/>
      <c r="C122" s="28" t="n"/>
      <c r="D122" s="28" t="n"/>
      <c r="E122" s="28" t="n"/>
      <c r="F122" s="28" t="n"/>
      <c r="G122" s="28" t="n"/>
      <c r="H122" s="28" t="n"/>
      <c r="I122" s="28" t="n"/>
      <c r="J122" s="45" t="n">
        <v>49303</v>
      </c>
      <c r="K122" s="28" t="inlineStr">
        <is>
          <t>Noël</t>
        </is>
      </c>
    </row>
    <row r="123">
      <c r="A123" s="28" t="n"/>
      <c r="B123" s="28" t="n"/>
      <c r="C123" s="28" t="n"/>
      <c r="D123" s="28" t="n"/>
      <c r="E123" s="28" t="n"/>
      <c r="F123" s="28" t="n"/>
      <c r="G123" s="28" t="n"/>
      <c r="H123" s="28" t="n"/>
      <c r="I123" s="28" t="n"/>
      <c r="J123" s="45" t="n">
        <v>49310</v>
      </c>
      <c r="K123" s="28" t="inlineStr">
        <is>
          <t>Jour de l’an</t>
        </is>
      </c>
    </row>
    <row r="124">
      <c r="A124" s="28" t="n"/>
      <c r="B124" s="28" t="n"/>
      <c r="C124" s="28" t="n"/>
      <c r="D124" s="28" t="n"/>
      <c r="E124" s="28" t="n"/>
      <c r="F124" s="28" t="n"/>
      <c r="G124" s="28" t="n"/>
      <c r="H124" s="28" t="n"/>
      <c r="I124" s="28" t="n"/>
      <c r="J124" s="45" t="n">
        <v>49394</v>
      </c>
      <c r="K124" s="28" t="inlineStr">
        <is>
          <t>Lundi de Pâques</t>
        </is>
      </c>
    </row>
    <row r="125">
      <c r="A125" s="28" t="n"/>
      <c r="B125" s="28" t="n"/>
      <c r="C125" s="28" t="n"/>
      <c r="D125" s="28" t="n"/>
      <c r="E125" s="28" t="n"/>
      <c r="F125" s="28" t="n"/>
      <c r="G125" s="28" t="n"/>
      <c r="H125" s="28" t="n"/>
      <c r="I125" s="28" t="n"/>
      <c r="J125" s="45" t="n">
        <v>49430</v>
      </c>
      <c r="K125" s="28" t="inlineStr">
        <is>
          <t>Fête du Travail</t>
        </is>
      </c>
    </row>
    <row r="126">
      <c r="A126" s="28" t="n"/>
      <c r="B126" s="28" t="n"/>
      <c r="C126" s="28" t="n"/>
      <c r="D126" s="28" t="n"/>
      <c r="E126" s="28" t="n"/>
      <c r="F126" s="28" t="n"/>
      <c r="G126" s="28" t="n"/>
      <c r="H126" s="28" t="n"/>
      <c r="I126" s="28" t="n"/>
      <c r="J126" s="45" t="n">
        <v>49432</v>
      </c>
      <c r="K126" s="28" t="inlineStr">
        <is>
          <t>Ascension</t>
        </is>
      </c>
    </row>
    <row r="127">
      <c r="A127" s="28" t="n"/>
      <c r="B127" s="28" t="n"/>
      <c r="C127" s="28" t="n"/>
      <c r="D127" s="28" t="n"/>
      <c r="E127" s="28" t="n"/>
      <c r="F127" s="28" t="n"/>
      <c r="G127" s="28" t="n"/>
      <c r="H127" s="28" t="n"/>
      <c r="I127" s="28" t="n"/>
      <c r="J127" s="45" t="n">
        <v>49437</v>
      </c>
      <c r="K127" s="28" t="inlineStr">
        <is>
          <t>Victoire 1945</t>
        </is>
      </c>
    </row>
    <row r="128">
      <c r="A128" s="28" t="n"/>
      <c r="B128" s="28" t="n"/>
      <c r="C128" s="28" t="n"/>
      <c r="D128" s="28" t="n"/>
      <c r="E128" s="28" t="n"/>
      <c r="F128" s="28" t="n"/>
      <c r="G128" s="28" t="n"/>
      <c r="H128" s="28" t="n"/>
      <c r="I128" s="28" t="n"/>
      <c r="J128" s="45" t="n">
        <v>49443</v>
      </c>
      <c r="K128" s="28" t="inlineStr">
        <is>
          <t>Lundi de Pentecôte</t>
        </is>
      </c>
    </row>
    <row r="129">
      <c r="A129" s="28" t="n"/>
      <c r="B129" s="28" t="n"/>
      <c r="C129" s="28" t="n"/>
      <c r="D129" s="28" t="n"/>
      <c r="E129" s="28" t="n"/>
      <c r="F129" s="28" t="n"/>
      <c r="G129" s="28" t="n"/>
      <c r="H129" s="28" t="n"/>
      <c r="I129" s="28" t="n"/>
      <c r="J129" s="45" t="n">
        <v>49504</v>
      </c>
      <c r="K129" s="28" t="inlineStr">
        <is>
          <t>Fête nationale</t>
        </is>
      </c>
    </row>
    <row r="130">
      <c r="A130" s="28" t="n"/>
      <c r="B130" s="28" t="n"/>
      <c r="C130" s="28" t="n"/>
      <c r="D130" s="28" t="n"/>
      <c r="E130" s="28" t="n"/>
      <c r="F130" s="28" t="n"/>
      <c r="G130" s="28" t="n"/>
      <c r="H130" s="28" t="n"/>
      <c r="I130" s="28" t="n"/>
      <c r="J130" s="45" t="n">
        <v>49536</v>
      </c>
      <c r="K130" s="28" t="inlineStr">
        <is>
          <t>Assomption</t>
        </is>
      </c>
    </row>
    <row r="131">
      <c r="A131" s="28" t="n"/>
      <c r="B131" s="28" t="n"/>
      <c r="C131" s="28" t="n"/>
      <c r="D131" s="28" t="n"/>
      <c r="E131" s="28" t="n"/>
      <c r="F131" s="28" t="n"/>
      <c r="G131" s="28" t="n"/>
      <c r="H131" s="28" t="n"/>
      <c r="I131" s="28" t="n"/>
      <c r="J131" s="45" t="n">
        <v>49614</v>
      </c>
      <c r="K131" s="28" t="inlineStr">
        <is>
          <t>Toussaint</t>
        </is>
      </c>
    </row>
    <row r="132">
      <c r="A132" s="28" t="n"/>
      <c r="B132" s="28" t="n"/>
      <c r="C132" s="28" t="n"/>
      <c r="D132" s="28" t="n"/>
      <c r="E132" s="28" t="n"/>
      <c r="F132" s="28" t="n"/>
      <c r="G132" s="28" t="n"/>
      <c r="H132" s="28" t="n"/>
      <c r="I132" s="28" t="n"/>
      <c r="J132" s="45" t="n">
        <v>49624</v>
      </c>
      <c r="K132" s="28" t="inlineStr">
        <is>
          <t>Armistice</t>
        </is>
      </c>
    </row>
    <row r="133">
      <c r="A133" s="28" t="n"/>
      <c r="B133" s="28" t="n"/>
      <c r="C133" s="28" t="n"/>
      <c r="D133" s="28" t="n"/>
      <c r="E133" s="28" t="n"/>
      <c r="F133" s="28" t="n"/>
      <c r="G133" s="28" t="n"/>
      <c r="H133" s="28" t="n"/>
      <c r="I133" s="28" t="n"/>
      <c r="J133" s="45" t="n">
        <v>49668</v>
      </c>
      <c r="K133" s="28" t="inlineStr">
        <is>
          <t>Noël</t>
        </is>
      </c>
    </row>
  </sheetData>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
  <sheetViews>
    <sheetView workbookViewId="0">
      <selection activeCell="A1" sqref="A1"/>
    </sheetView>
  </sheetViews>
  <sheetFormatPr baseColWidth="8" defaultRowHeight="15"/>
  <cols>
    <col width="120" customWidth="1" style="19" min="1" max="1"/>
  </cols>
  <sheetData>
    <row r="1">
      <c r="A1" s="46" t="inlineStr">
        <is>
          <t>Code VBA à importer dans un module standard</t>
        </is>
      </c>
    </row>
    <row r="2">
      <c r="A2" s="28" t="n"/>
    </row>
    <row r="3" ht="600" customHeight="1" s="19">
      <c r="A3" s="47" t="inlineStr">
        <is>
          <t>Option Explicit
Private Const CODE_APP As String = "CMC"
Private Const DEST_FO As String = "focastmetal@gmail.com"
Sub OuvrirCalendrier()
    Dim prenom As String, code As String
    prenom = Trim(Sheets("Connexion").Range("B3").Value)
    code = Trim(Sheets("Connexion").Range("B4").Value)
    If prenom = "" Then
        MsgBox "Choisis ton prénom.", vbExclamation
        Exit Sub
    End If
    If UCase(code) &lt;&gt; CODE_APP Then
        MsgBox "Code incorrect.", vbCritical
        Exit Sub
    End If
    Sheets("Calendrier").Visible = xlSheetVisible
    Sheets("Mail FO").Visible = xlSheetVisible
    Sheets("Calendrier").Activate
    Range("A1").Select
End Sub
Sub EnvoyerBoiteMailFO()
    Dim wsC As Worksheet, wsA As Worksheet
    Dim prenom As String, moisTxt As String, destinataire As String
    Dim sujet As String, corps As String, detail As String
    Dim r As Long, lastA As Long
    Dim totalDeleg As Double, droit As Double, reste As Double
    Dim olApp As Object, olMail As Object
    Set wsC = Sheets("Calendrier")
    Set wsA = Sheets("Archives")
    prenom = Sheets("Connexion").Range("B3").Value
    moisTxt = Format(DateSerial(Sheets("Connexion").Range("B6").Value, Sheets("Connexion").Range("B5").Value, 1), "mmmm yyyy")
    destinataire = DEST_FO
    droit = Sheets("Connexion").Range("B7").Value
    totalDeleg = wsC.Range("E4").Value
    reste = wsC.Range("H4").Value
    sujet = "Feuille heures délégation FO - " &amp; prenom &amp; " - " &amp; moisTxt
    corps = "Bonjour," &amp; vbCrLf &amp; vbCrLf
    corps = corps &amp; "Veuillez trouver ci-dessous le détail des heures de délégation pour " &amp; prenom &amp; " - " &amp; moisTxt &amp; "." &amp; vbCrLf &amp; vbCrLf
    corps = corps &amp; "Droit mensuel : " &amp; Format(droit, "0.00") &amp; " h" &amp; vbCrLf
    corps = corps &amp; "Total délégation prise : " &amp; Format(totalDeleg, "0.00") &amp; " h" &amp; vbCrLf
    corps = corps &amp; "Reste disponible : " &amp; Format(reste, "0.00") &amp; " h" &amp; vbCrLf &amp; vbCrLf
    corps = corps &amp; "Détail des journées avec délégation :" &amp; vbCrLf
    corps = corps &amp; "------------------------------------" &amp; vbCrLf
    detail = ""
    For r = 12 To 42
        If Val(wsC.Cells(r, "F").Value) &gt; 0 Then
            detail = detail &amp; Format(wsC.Cells(r, "A").Value, "dd/mm/yyyy") &amp; " - " &amp; wsC.Cells(r, "B").Value &amp; _
                " | Horaire : " &amp; wsC.Cells(r, "D").Value &amp; _
                " | Total journée : " &amp; Format(wsC.Cells(r, "E").Value, "0.00") &amp; " h" &amp; _
                " | Délégation : " &amp; Format(wsC.Cells(r, "F").Value, "0.00") &amp; " h" &amp; _
                " | Travail réel : " &amp; Format(wsC.Cells(r, "G").Value, "0.00") &amp; " h" &amp; _
                " | Statut : " &amp; wsC.Cells(r, "H").Value
            If wsC.Cells(r, "I").Value &lt;&gt; "" Then detail = detail &amp; " | Commentaire : " &amp; wsC.Cells(r, "I").Value
            detail = detail &amp; vbCrLf
        End If
    Next r
    If detail = "" Then detail = "Aucune heure de délégation déclarée sur ce mois." &amp; vbCrLf
    corps = corps &amp; detail &amp; vbCrLf &amp; "Cordialement," &amp; vbCrLf &amp; prenom
    lastA = wsA.Cells(wsA.Rows.Count, "A").End(xlUp).Row + 1
    If lastA &lt; 4 Then lastA = 4
    wsA.Cells(lastA, 1).Value = Now
    wsA.Cells(lastA, 2).Value = prenom
    wsA.Cells(lastA, 3).Value = Sheets("Connexion").Range("B5").Value
    wsA.Cells(lastA, 4).Value = Sheets("Connexion").Range("B6").Value
    wsA.Cells(lastA, 5).Value = droit
    wsA.Cells(lastA, 6).Value = totalDeleg
    wsA.Cells(lastA, 7).Value = reste
    wsA.Cells(lastA, 8).Value = destinataire
    wsA.Cells(lastA, 9).Value = detail
    On Error Resume Next
    Set olApp = GetObject(, "Outlook.Application")
    If olApp Is Nothing Then Set olApp = CreateObject("Outlook.Application")
    On Error GoTo 0
    If Not olApp Is Nothing Then
        Set olMail = olApp.CreateItem(0)
        With olMail
            .To = destinataire
            .Subject = sujet
            .Body = corps
            .Display
        End With
    Else
        MsgBox "Archive créée. Outlook n'est pas disponible sur cet appareil. Copie le texte depuis la feuille 'Mail FO'.", vbInformation
        Sheets("Mail FO").Activate
    End If
End Sub
Sub ReinitialiserMois()
    If MsgBox("Effacer les saisies du mois ?", vbYesNo + vbQuestion) = vbNo Then Exit Sub
    With Sheets("Calendrier")
        .Range("D12:D42").ClearContents
        .Range("F12:F42").ClearContents
        .Range("I12:I42").ClearContents
    End With
    MsgBox "Mois réinitialisé.", vbInformation
End Sub</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2026-05-13T08:59:12Z</dcterms:created>
  <dcterms:modified xmlns:dcterms="http://purl.org/dc/terms/" xmlns:xsi="http://www.w3.org/2001/XMLSchema-instance" xsi:type="dcterms:W3CDTF">2026-05-22T20:06:34Z</dcterms:modified>
  <cp:lastModifiedBy>k Setti</cp:lastModifiedBy>
</cp:coreProperties>
</file>